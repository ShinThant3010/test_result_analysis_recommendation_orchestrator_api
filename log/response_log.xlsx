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.t/Desktop/Projects/mhesi/test_result_analysis_recommendation_orchestrator_api/log/"/>
    </mc:Choice>
  </mc:AlternateContent>
  <xr:revisionPtr revIDLastSave="0" documentId="13_ncr:9_{A1C5EA3F-B7A3-8F45-B9F8-F2C0F3A705FB}" xr6:coauthVersionLast="47" xr6:coauthVersionMax="47" xr10:uidLastSave="{00000000-0000-0000-0000-000000000000}"/>
  <bookViews>
    <workbookView xWindow="0" yWindow="720" windowWidth="29400" windowHeight="18400" activeTab="3" xr2:uid="{71E47B97-443C-F449-9D3D-356D656D0A60}"/>
  </bookViews>
  <sheets>
    <sheet name="response_log_csv" sheetId="1" r:id="rId1"/>
    <sheet name="response_log_csv (2)" sheetId="2" r:id="rId2"/>
    <sheet name="response_log_csv (3)" sheetId="3" r:id="rId3"/>
    <sheet name="response_log_csv (4)" sheetId="4" r:id="rId4"/>
  </sheets>
  <definedNames>
    <definedName name="_xlnm._FilterDatabase" localSheetId="1" hidden="1">'response_log_csv (2)'!$A$2:$AJ$23</definedName>
    <definedName name="_xlnm._FilterDatabase" localSheetId="2" hidden="1">'response_log_csv (3)'!$A$2:$AJ$23</definedName>
    <definedName name="_xlnm._FilterDatabase" localSheetId="3" hidden="1">'response_log_csv (4)'!$A$3:$AG$24</definedName>
  </definedNames>
  <calcPr calcId="0"/>
</workbook>
</file>

<file path=xl/calcChain.xml><?xml version="1.0" encoding="utf-8"?>
<calcChain xmlns="http://schemas.openxmlformats.org/spreadsheetml/2006/main">
  <c r="O30" i="4" l="1"/>
  <c r="T28" i="4"/>
  <c r="S28" i="4"/>
  <c r="R28" i="4"/>
  <c r="Q28" i="4"/>
  <c r="P28" i="4"/>
  <c r="N28" i="4"/>
  <c r="M28" i="4"/>
  <c r="L28" i="4"/>
  <c r="T27" i="4"/>
  <c r="S27" i="4"/>
  <c r="R27" i="4"/>
  <c r="Q27" i="4"/>
  <c r="P27" i="4"/>
  <c r="N27" i="4"/>
  <c r="M27" i="4"/>
  <c r="L27" i="4"/>
  <c r="T26" i="4"/>
  <c r="S26" i="4"/>
  <c r="R26" i="4"/>
  <c r="Q26" i="4"/>
  <c r="P26" i="4"/>
  <c r="N26" i="4"/>
  <c r="M26" i="4"/>
  <c r="L26" i="4"/>
  <c r="O24" i="4"/>
  <c r="O23" i="4"/>
  <c r="O17" i="4"/>
  <c r="O19" i="4"/>
  <c r="O20" i="4"/>
  <c r="O18" i="4"/>
  <c r="O14" i="4"/>
  <c r="O9" i="4"/>
  <c r="O6" i="4"/>
  <c r="O4" i="4"/>
  <c r="O22" i="4"/>
  <c r="O13" i="4"/>
  <c r="O12" i="4"/>
  <c r="O11" i="4"/>
  <c r="O21" i="4"/>
  <c r="O16" i="4"/>
  <c r="O15" i="4"/>
  <c r="O7" i="4"/>
  <c r="O10" i="4"/>
  <c r="O5" i="4"/>
  <c r="O8" i="4"/>
  <c r="O29" i="3"/>
  <c r="T27" i="3"/>
  <c r="S27" i="3"/>
  <c r="R27" i="3"/>
  <c r="Q27" i="3"/>
  <c r="P27" i="3"/>
  <c r="N27" i="3"/>
  <c r="M27" i="3"/>
  <c r="L27" i="3"/>
  <c r="T26" i="3"/>
  <c r="S26" i="3"/>
  <c r="R26" i="3"/>
  <c r="Q26" i="3"/>
  <c r="P26" i="3"/>
  <c r="N26" i="3"/>
  <c r="M26" i="3"/>
  <c r="L26" i="3"/>
  <c r="T25" i="3"/>
  <c r="S25" i="3"/>
  <c r="R25" i="3"/>
  <c r="Q25" i="3"/>
  <c r="P25" i="3"/>
  <c r="N25" i="3"/>
  <c r="M25" i="3"/>
  <c r="L25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9" i="2"/>
  <c r="O4" i="2"/>
  <c r="O15" i="2"/>
  <c r="O6" i="2"/>
  <c r="O3" i="2"/>
  <c r="O16" i="2"/>
  <c r="O5" i="2"/>
  <c r="O10" i="2"/>
  <c r="O11" i="2"/>
  <c r="O12" i="2"/>
  <c r="O17" i="2"/>
  <c r="O7" i="2"/>
  <c r="O8" i="2"/>
  <c r="O21" i="2"/>
  <c r="O18" i="2"/>
  <c r="O20" i="2"/>
  <c r="O19" i="2"/>
  <c r="O9" i="2"/>
  <c r="O13" i="2"/>
  <c r="O22" i="2"/>
  <c r="O23" i="2"/>
  <c r="O14" i="2"/>
  <c r="T27" i="2"/>
  <c r="S27" i="2"/>
  <c r="R27" i="2"/>
  <c r="Q27" i="2"/>
  <c r="P27" i="2"/>
  <c r="N27" i="2"/>
  <c r="M27" i="2"/>
  <c r="L27" i="2"/>
  <c r="T26" i="2"/>
  <c r="S26" i="2"/>
  <c r="R26" i="2"/>
  <c r="Q26" i="2"/>
  <c r="P26" i="2"/>
  <c r="N26" i="2"/>
  <c r="M26" i="2"/>
  <c r="L26" i="2"/>
  <c r="T25" i="2"/>
  <c r="S25" i="2"/>
  <c r="R25" i="2"/>
  <c r="Q25" i="2"/>
  <c r="P25" i="2"/>
  <c r="N25" i="2"/>
  <c r="M25" i="2"/>
  <c r="L25" i="2"/>
  <c r="J27" i="1"/>
  <c r="K27" i="1"/>
  <c r="L27" i="1"/>
  <c r="M27" i="1"/>
  <c r="N27" i="1"/>
  <c r="O27" i="1"/>
  <c r="P27" i="1"/>
  <c r="Q27" i="1"/>
  <c r="I27" i="1"/>
  <c r="J26" i="1"/>
  <c r="K26" i="1"/>
  <c r="L26" i="1"/>
  <c r="M26" i="1"/>
  <c r="N26" i="1"/>
  <c r="O26" i="1"/>
  <c r="P26" i="1"/>
  <c r="Q26" i="1"/>
  <c r="I26" i="1"/>
  <c r="Q25" i="1"/>
  <c r="P25" i="1"/>
  <c r="O25" i="1"/>
  <c r="N25" i="1"/>
  <c r="M25" i="1"/>
  <c r="L25" i="1"/>
  <c r="K25" i="1"/>
  <c r="J25" i="1"/>
  <c r="I25" i="1"/>
</calcChain>
</file>

<file path=xl/sharedStrings.xml><?xml version="1.0" encoding="utf-8"?>
<sst xmlns="http://schemas.openxmlformats.org/spreadsheetml/2006/main" count="855" uniqueCount="181">
  <si>
    <t>test_case_no</t>
  </si>
  <si>
    <t>student_id</t>
  </si>
  <si>
    <t>test_id</t>
  </si>
  <si>
    <t>max_courses</t>
  </si>
  <si>
    <t>max_courses_per_weakness</t>
  </si>
  <si>
    <t>participant_ranking</t>
  </si>
  <si>
    <t>language</t>
  </si>
  <si>
    <t>orchestrator_runtime</t>
  </si>
  <si>
    <t>data_gathering_attempts</t>
  </si>
  <si>
    <t>data_gathering_questions</t>
  </si>
  <si>
    <t>test_analysis</t>
  </si>
  <si>
    <t>extract_weaknesses</t>
  </si>
  <si>
    <t>course_recommendation</t>
  </si>
  <si>
    <t>longest_vector_search</t>
  </si>
  <si>
    <t>longest_rerank</t>
  </si>
  <si>
    <t>user_facing_response</t>
  </si>
  <si>
    <t>test_analysis_input_token</t>
  </si>
  <si>
    <t>test_analysis_output_token</t>
  </si>
  <si>
    <t>rerank_input_token_total</t>
  </si>
  <si>
    <t>rerank_output_token_total</t>
  </si>
  <si>
    <t>rerank_input_token_avg</t>
  </si>
  <si>
    <t>rerank_output_token_avg</t>
  </si>
  <si>
    <t>num_weaknesses</t>
  </si>
  <si>
    <t>STUDENT_A</t>
  </si>
  <si>
    <t>01KCXGG0SP0001H0Q1FW1GGERR</t>
  </si>
  <si>
    <t>EN</t>
  </si>
  <si>
    <t>01KCXGG0SS0001H0Q1FW1K4S0G</t>
  </si>
  <si>
    <t>01KCXGG0SW0001H0Q1FW1P83Q8</t>
  </si>
  <si>
    <t>01KCXGG0SY0001H0Q1FW1RCVXG</t>
  </si>
  <si>
    <t>01KCXGG0T10001H0Q1FW1TFQJ8</t>
  </si>
  <si>
    <t>01KCXGG0T30001H0Q1FW1WKFH8</t>
  </si>
  <si>
    <t>01KCXGG0T50001H0Q1FW1Y9VRR</t>
  </si>
  <si>
    <t>01KCXGG0TA0001H0Q1FW23F3VG</t>
  </si>
  <si>
    <t>01KCXGG0TC0001H0Q1FW253NG0</t>
  </si>
  <si>
    <t>01KCXGG0TF0001H0Q1FW27Z94G</t>
  </si>
  <si>
    <t>01KCXGG0TH0001H0Q1FW29T6W8</t>
  </si>
  <si>
    <t>STUDENT_B</t>
  </si>
  <si>
    <t>01KCXGG0TK0001H0Q1FW2BK82G</t>
  </si>
  <si>
    <t>01KCXGG0TM0001H0Q1FW2D8TXG</t>
  </si>
  <si>
    <t>STUDENT_C</t>
  </si>
  <si>
    <t>01KCXGG0TP0001H0Q1FW2EZ65R</t>
  </si>
  <si>
    <t>01KCXGG0TR0001H0Q1FW2GMS0R</t>
  </si>
  <si>
    <t>STUDENT_D</t>
  </si>
  <si>
    <t>01KCXGG0TT0001H0Q1FW2JBG00</t>
  </si>
  <si>
    <t>01KCXGG0TV0001H0Q1FW2M1CKG</t>
  </si>
  <si>
    <t>STUDENT_E</t>
  </si>
  <si>
    <t>01KEY5TSTDRV8CT25ABPCC485R</t>
  </si>
  <si>
    <t>TH</t>
  </si>
  <si>
    <t>Note</t>
  </si>
  <si>
    <t>Error</t>
  </si>
  <si>
    <t>Average</t>
  </si>
  <si>
    <t>Input</t>
  </si>
  <si>
    <t>runtime</t>
  </si>
  <si>
    <t>token</t>
  </si>
  <si>
    <t>Min</t>
  </si>
  <si>
    <t>Max</t>
  </si>
  <si>
    <t>Exclude Outliers</t>
  </si>
  <si>
    <t>num_incorrect_answers</t>
  </si>
  <si>
    <t>data gathering</t>
  </si>
  <si>
    <t>runtime range</t>
  </si>
  <si>
    <t>30-40</t>
  </si>
  <si>
    <t>20-30</t>
  </si>
  <si>
    <t>40-50</t>
  </si>
  <si>
    <t>num_weaknesses &lt; 5</t>
  </si>
  <si>
    <t>course recommendation</t>
  </si>
  <si>
    <t>&lt;10 sec</t>
  </si>
  <si>
    <t>num_weaknesses &gt; 5</t>
  </si>
  <si>
    <t>10-15 sec</t>
  </si>
  <si>
    <t>num incorrect answers ~5/6</t>
  </si>
  <si>
    <t>num incorrect answers ~10</t>
  </si>
  <si>
    <t>num incorrect answers ~30</t>
  </si>
  <si>
    <t>3 sec</t>
  </si>
  <si>
    <t>test analysis (weakness extraction)</t>
  </si>
  <si>
    <t>6-10 sec</t>
  </si>
  <si>
    <t>user facing response</t>
  </si>
  <si>
    <t>6-15 sec</t>
  </si>
  <si>
    <t>11-25 sec</t>
  </si>
  <si>
    <t>25-30 sec</t>
  </si>
  <si>
    <t>show</t>
  </si>
  <si>
    <t>num incorrect answers &lt; 5</t>
  </si>
  <si>
    <t>num incorrect answers 5-10</t>
  </si>
  <si>
    <t>Computer Science 101</t>
  </si>
  <si>
    <t>TOEIC Part5 Sample Test</t>
  </si>
  <si>
    <t>Logic and Reasoning Sample Test I</t>
  </si>
  <si>
    <t>Logic and Reasoning Sample Test II</t>
  </si>
  <si>
    <t>Business Administration 101</t>
  </si>
  <si>
    <t>Business Administration Sample Test I</t>
  </si>
  <si>
    <t>Accounting 101</t>
  </si>
  <si>
    <t>Information Technology 101</t>
  </si>
  <si>
    <t>Information Technology Sample Test I</t>
  </si>
  <si>
    <t>English Sample Test I</t>
  </si>
  <si>
    <t>English Sample Test II</t>
  </si>
  <si>
    <t>Personal Development Quiz</t>
  </si>
  <si>
    <t>IT &amp; Infrastructure 101</t>
  </si>
  <si>
    <t>IT &amp; Infrastructure Sample Test I</t>
  </si>
  <si>
    <t>Reasoning &amp; Literacy Quiz</t>
  </si>
  <si>
    <t>Reasoning &amp; Literacy 101</t>
  </si>
  <si>
    <t>Music Knowledge 101</t>
  </si>
  <si>
    <t>test_title</t>
  </si>
  <si>
    <t>run_xxx</t>
  </si>
  <si>
    <t>run_6f02503532ec411491b4717a57dc3a3b</t>
  </si>
  <si>
    <t>run_10d85811fe4b4cd086c3d4678c1ae048</t>
  </si>
  <si>
    <t>run_95c399e777134e25ab118d37fe49d025</t>
  </si>
  <si>
    <t>run_5b7a17fe176144e3bded7e5f59cd0a22</t>
  </si>
  <si>
    <t>run_0ce1a116c0e840b2a6901d9f7af209a5</t>
  </si>
  <si>
    <t>run_9fcaed5c13ba4304b4b3bbcd00b6769e</t>
  </si>
  <si>
    <t>run_2cb873008c774082b5c6b99a591cdbe2</t>
  </si>
  <si>
    <t>run_91f3c75a4cd449e0bd93e55f70ae359e</t>
  </si>
  <si>
    <t>run_ef7a62d18e3f4c718802dd89ad2478f4</t>
  </si>
  <si>
    <t>run_cda36154391c4f42a2fa2b94b3045ef3</t>
  </si>
  <si>
    <t>run_a521d7c3439344ae812fc3c8f3ba347d</t>
  </si>
  <si>
    <t>run_3b42f8739d9948d1a8c90818d002c67a</t>
  </si>
  <si>
    <t>run_a8107c99ac1f46e890ebcf3ff03859a2</t>
  </si>
  <si>
    <t>run_c06a9e8bbd674d2f86f2e261ae42061f</t>
  </si>
  <si>
    <t>run_d9c62ca6994f4333b0dec27003fc80db</t>
  </si>
  <si>
    <t>run_9e7bef5e03434a56810b1e824a7e211c</t>
  </si>
  <si>
    <t>run_851904bc28444d43a23d156a92ad1b36</t>
  </si>
  <si>
    <t>run_ff340a733e2c45faa1b5f012995ce96d</t>
  </si>
  <si>
    <t>run_438dd731ee8f453baa9eb8f24d9229f3</t>
  </si>
  <si>
    <t>run_f696a5c20b46471f8779dffa15f3135c</t>
  </si>
  <si>
    <t>run_d327f2b4de2a4a348e489b60e0f5cf8f</t>
  </si>
  <si>
    <t>run_efb9fbd73df742e481d41976fdfd3219</t>
  </si>
  <si>
    <t>Domain</t>
  </si>
  <si>
    <t>Answered domains</t>
  </si>
  <si>
    <t>Eng</t>
  </si>
  <si>
    <t>Logic</t>
  </si>
  <si>
    <t>Business</t>
  </si>
  <si>
    <t>Accounting</t>
  </si>
  <si>
    <t>IT</t>
  </si>
  <si>
    <t>Music</t>
  </si>
  <si>
    <t>[all - correct] toeic</t>
  </si>
  <si>
    <t>[all - correct] python</t>
  </si>
  <si>
    <t xml:space="preserve">[2 - incorrect] toeic, algebra; </t>
  </si>
  <si>
    <t>NOPE</t>
  </si>
  <si>
    <t>[all - correct] mngt, accounting</t>
  </si>
  <si>
    <t>check</t>
  </si>
  <si>
    <t>[all related]</t>
  </si>
  <si>
    <t>[all - correct]</t>
  </si>
  <si>
    <t xml:space="preserve">[2 - incorrect] data science, statistics; </t>
  </si>
  <si>
    <t>[mixed - unclear]</t>
  </si>
  <si>
    <t>[all - related]</t>
  </si>
  <si>
    <t>[no recommendation]</t>
  </si>
  <si>
    <t>[incorrect]</t>
  </si>
  <si>
    <t>Extracted Weaknesses</t>
  </si>
  <si>
    <t>Recommended Courses</t>
  </si>
  <si>
    <t>NOTE</t>
  </si>
  <si>
    <t>2: Distinguishing Management Functions: Planning vs. Controlling
1: Understanding Cost Classifications: Controllable vs. Uncontrollable Costs
1: Identifying Characteristics of Leadership Styles
1: Grasping Foundational Strategic Planning Concepts</t>
  </si>
  <si>
    <t>W1: Project Management Life Cycle (0.9)
W2: Accounting and Finance (0.95)</t>
  </si>
  <si>
    <t>1: Misunderstanding of the Fundamental Accounting Equation
2: Confusion in Classifying Accounting Elements
3: Lack of Understanding of Financial Audit Objectives</t>
  </si>
  <si>
    <t>W1: Accounting and Finance (1.0)
W1: Introduction to Corporate Finance (0.8)</t>
  </si>
  <si>
    <t>2: Misunderstanding of DevOps Core Principles
1: Confusion Regarding VPN Functionality</t>
  </si>
  <si>
    <t>W1: Agile Software Development (0.9)
W1: Migrating to the AWS Cloud (0.8)
W2: Introduction to Networking (0.95)
W2: Introduction to Cybersecurity (0.9)</t>
  </si>
  <si>
    <t>3: Misunderstanding of Core DevOps and System Design Concepts</t>
  </si>
  <si>
    <t>W1: Migrating to the AWS Cloud (0.9)
W1: Agile Software Development (0.8)</t>
  </si>
  <si>
    <t>1: Python string slicing: Misinterpretation of the stop (exclusive) index.</t>
  </si>
  <si>
    <t>W1: Programming for Everybody (Getting Started with Python) (0.95)
W1: Computing in Python I: Fundamentals and Procedural Programming (0.95)
W1: Python Basics for Data Science (0.9)</t>
  </si>
  <si>
    <t>1: Python string slicing 'stop' index misinterpretation</t>
  </si>
  <si>
    <t>W1: Programming for Everybody (Getting Started with Python) (0.95)
W1: Computing in Python I: Fundamentals and Procedural Programming (0.95)</t>
  </si>
  <si>
    <t>2: Misinterpreting logical relationships between clauses (Conjunctive Adverbs)
1: Difficulty forming correct passive voice constructions
1: Incorrect application of relative pronouns
1: Errors with singular/plural forms of abstract nouns</t>
  </si>
  <si>
    <t>W1: Conjunctions &amp; Sentence Structure (0.98)
W1: Connectors &amp; Transition Signals (0.98)
W2: Verbs &amp; Tenses for TOEIC Part 5 (0.9)
W3: Noun Clauses &amp; Relative Pronouns (1.0)
W4: Countable &amp; Uncountable Nouns for TOEIC (1.0)</t>
  </si>
  <si>
    <t>2: Misidentifying Necessary Assumptions
2: Ineffective Argument Strengthening
1: Rule-Based Problem Solving &amp; Interpretation</t>
  </si>
  <si>
    <t>W2: Modifiers &amp; Sentence Logic (0.95)
W2: Principles of Microeconomics: An Economist Way of Thinking (0.75)
W3: Introduction to Algebra (1.0)
W3: Drones and Autonomous Systems 2: Applications in Emergency Management (0.9)</t>
  </si>
  <si>
    <t>5: Misunderstanding of core business concept definitions and purposes.
2: Confusion between specific organizational management terminology and characteristics.
1: Difficulty classifying controllable versus uncontrollable costs.</t>
  </si>
  <si>
    <t>W1: Introduction to Corporate Finance (0.95)
W1: Accounting and Finance (0.95)
W2: Project Management Life Cycle (0.9)
W2: Innovation Strategies for Electric Mobility: The StreetScooter Case (0.8)</t>
  </si>
  <si>
    <t>1: Misunderstanding of Register and Tone
2: Inconsistent Subject-Verb Agreement
1: Confusion in Identifying Basic Parts of Speech
1: Incorrect Usage of Prepositions in Common Collocations</t>
  </si>
  <si>
    <t>W1: English Grammar and Style (0.95)
W2: Verbs &amp; Tenses for TOEIC Part 5 (0.95)
W3: Countable &amp; Uncountable Nouns for TOEIC (1.0)
W3: Noun Clauses &amp; Relative Pronouns (1.0)
W4: Prepositions in Business English (1.0)</t>
  </si>
  <si>
    <t>2: Misunderstanding of Project Lifecycle Stages and Initial Documentation Purpose
2: Fundamental Misinterpretation of Core Governance &amp; Management Principles
1: Incomplete Understanding of Risk Management Scope and Strategies
1: Confusion Between Public and Private Sector Financial Concepts</t>
  </si>
  <si>
    <t>W1: Project Management Life Cycle (0.95)
W1: Agile Software Development (0.88)
W4: Introduction to Corporate Finance (0.9)</t>
  </si>
  <si>
    <t>2: Misinterprets common dynamic and tempo terms.
2: Confuses fundamental notation symbols with other structural markings.
2: Lacks understanding of core music theory concepts
2: Inaccurate factual recall for musical conventions and instrument classification</t>
  </si>
  <si>
    <t>N/A</t>
  </si>
  <si>
    <t>4: Difficulty with logical inference, specifically overgeneralizing from 'some' to 'all'.
4: Inability to identify multiplicative patterns in numerical series.
4: Misunderstanding the purpose and function of HTTPS.
4: Poor understanding of strong password creation principles.
4: Narrow or incorrect definition of digital literacy
4: Confusion regarding the intent and mechanics of phishing attacks.
3: Misinterpretation of basic Boolean logic, specifically the 'OR' operator
3: Lack of understanding of Two-Factor Authentication (2FA) mechanisms.</t>
  </si>
  <si>
    <t>W1: Modifiers &amp; Sentence Logic (0.9)
W2: Maths Essentials (0.95)
W2: Introduction to Algebra (0.9)
W4: Introduction to Cybersecurity (1.0)
W5: Blockchain and FinTech: Basics, Applications, and Limitations (0.9)</t>
  </si>
  <si>
    <t>4: Difficulty with Deductive Reasoning and Quantifiers
4: Inability to Recognize Geometric Progressions in Number Series
4: Misunderstanding of HTTPS and Secure Connections
4: Insufficient Knowledge of Strong Password Best Practices
4: Limited Understanding of Digital Literacy Scope
4: Failure to Identify Malicious Intent of Phishing
4: Misinterpretation of Logical OR Operator
4: Confusion Regarding Two-Factor Authentication Mechanisms</t>
  </si>
  <si>
    <t>W1: Modifiers &amp; Sentence Logic (0.9)
W2: Maths Essentials (0.95)
W2: Introduction to Algebra (0.9)
W4: Introduction to Cybersecurity (0.95)
W5: Social Media: How Media Got Social (0.95)</t>
  </si>
  <si>
    <t>4: Difficulty drawing correct inferences from categorical statements.
4: Inability to identify multiplicative patterns in number sequences
16: Misunderstanding core concepts of digital security and online safety
4: Narrow understanding of the concept of digital literacy
4: Confusion regarding the truth conditions of the logical OR operator</t>
  </si>
  <si>
    <t>W1: Modifiers &amp; Sentence Logic (0.95)
W2: Introduction to Algebra (0.95)
W2: Maths Essentials (0.9)
W3: Introduction to Cybersecurity (1.0)
W4: Social Media: How Media Got Social (1.0)</t>
  </si>
  <si>
    <t>Test Analysis</t>
  </si>
  <si>
    <t>Rerank Course(s) - Avg</t>
  </si>
  <si>
    <t>Rerank Course(s) - Total</t>
  </si>
  <si>
    <t>User Facing Response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</si>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</sst>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0.0"/>
    <numFmt numFmtId="172" formatCode="_(* #,##0_);_(* \(#,##0\);_(* &quot;-&quot;??_);_(@_)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center"/>
    </xf>
    <xf numFmtId="0" fontId="18" fillId="33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3" borderId="0" xfId="0" applyFill="1" applyAlignment="1">
      <alignment vertical="center"/>
    </xf>
    <xf numFmtId="0" fontId="18" fillId="34" borderId="0" xfId="0" applyFont="1" applyFill="1" applyAlignment="1">
      <alignment vertical="center"/>
    </xf>
    <xf numFmtId="165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18" fillId="33" borderId="0" xfId="0" applyFont="1" applyFill="1" applyAlignment="1">
      <alignment horizontal="center" vertical="center"/>
    </xf>
    <xf numFmtId="0" fontId="0" fillId="35" borderId="0" xfId="0" applyFill="1" applyAlignment="1">
      <alignment vertical="center"/>
    </xf>
    <xf numFmtId="0" fontId="0" fillId="35" borderId="0" xfId="0" applyFill="1"/>
    <xf numFmtId="1" fontId="0" fillId="35" borderId="0" xfId="0" applyNumberFormat="1" applyFill="1" applyAlignment="1">
      <alignment vertical="center"/>
    </xf>
    <xf numFmtId="0" fontId="0" fillId="36" borderId="0" xfId="0" applyFill="1" applyAlignment="1">
      <alignment vertical="center"/>
    </xf>
    <xf numFmtId="1" fontId="0" fillId="36" borderId="0" xfId="0" applyNumberFormat="1" applyFill="1" applyAlignment="1">
      <alignment vertical="center"/>
    </xf>
    <xf numFmtId="0" fontId="0" fillId="36" borderId="0" xfId="0" applyFill="1"/>
    <xf numFmtId="0" fontId="0" fillId="37" borderId="0" xfId="0" applyFill="1" applyAlignment="1">
      <alignment vertical="center"/>
    </xf>
    <xf numFmtId="1" fontId="0" fillId="37" borderId="0" xfId="0" applyNumberFormat="1" applyFill="1" applyAlignment="1">
      <alignment vertical="center"/>
    </xf>
    <xf numFmtId="0" fontId="0" fillId="37" borderId="0" xfId="0" applyFill="1"/>
    <xf numFmtId="17" fontId="0" fillId="0" borderId="0" xfId="0" applyNumberFormat="1" applyAlignment="1">
      <alignment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0" applyNumberFormat="1" applyFill="1" applyAlignment="1">
      <alignment vertical="center"/>
    </xf>
    <xf numFmtId="0" fontId="0" fillId="0" borderId="0" xfId="0" applyFill="1"/>
    <xf numFmtId="2" fontId="0" fillId="0" borderId="0" xfId="0" applyNumberFormat="1" applyFill="1" applyAlignment="1">
      <alignment vertical="center"/>
    </xf>
    <xf numFmtId="165" fontId="0" fillId="36" borderId="0" xfId="0" applyNumberFormat="1" applyFill="1" applyAlignment="1">
      <alignment vertical="center"/>
    </xf>
    <xf numFmtId="165" fontId="0" fillId="35" borderId="0" xfId="0" applyNumberFormat="1" applyFill="1" applyAlignment="1">
      <alignment vertical="center"/>
    </xf>
    <xf numFmtId="165" fontId="0" fillId="37" borderId="0" xfId="0" applyNumberFormat="1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172" fontId="0" fillId="0" borderId="0" xfId="1" applyNumberFormat="1" applyFont="1" applyAlignment="1">
      <alignment vertical="center"/>
    </xf>
    <xf numFmtId="172" fontId="0" fillId="0" borderId="0" xfId="1" applyNumberFormat="1" applyFont="1"/>
    <xf numFmtId="172" fontId="0" fillId="0" borderId="0" xfId="1" applyNumberFormat="1" applyFont="1" applyFill="1" applyAlignment="1">
      <alignment vertical="center"/>
    </xf>
    <xf numFmtId="1" fontId="0" fillId="0" borderId="0" xfId="1" applyNumberFormat="1" applyFont="1" applyAlignment="1">
      <alignment vertical="center"/>
    </xf>
    <xf numFmtId="1" fontId="0" fillId="0" borderId="0" xfId="1" applyNumberFormat="1" applyFont="1" applyFill="1" applyAlignment="1">
      <alignment vertical="center"/>
    </xf>
    <xf numFmtId="1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049F0-12A0-8941-B99B-D8FF17682C97}">
  <dimension ref="A1:AA35"/>
  <sheetViews>
    <sheetView zoomScale="75" workbookViewId="0">
      <selection activeCell="K12" sqref="K12"/>
    </sheetView>
  </sheetViews>
  <sheetFormatPr baseColWidth="10" defaultRowHeight="20" customHeight="1" outlineLevelCol="1" x14ac:dyDescent="0.2"/>
  <cols>
    <col min="1" max="1" width="11.83203125" style="1" bestFit="1" customWidth="1"/>
    <col min="2" max="2" width="16.5" style="1" customWidth="1" outlineLevel="1"/>
    <col min="3" max="3" width="31" style="1" customWidth="1" outlineLevel="1"/>
    <col min="4" max="4" width="11.6640625" style="1" customWidth="1" outlineLevel="1"/>
    <col min="5" max="5" width="24.1640625" style="1" customWidth="1" outlineLevel="1"/>
    <col min="6" max="6" width="17" style="1" customWidth="1" outlineLevel="1"/>
    <col min="7" max="7" width="8.33203125" style="1" customWidth="1" outlineLevel="1"/>
    <col min="8" max="8" width="3.1640625" style="4" customWidth="1"/>
    <col min="9" max="9" width="18.6640625" style="1" bestFit="1" customWidth="1" outlineLevel="1"/>
    <col min="10" max="10" width="21.6640625" style="1" bestFit="1" customWidth="1" outlineLevel="1"/>
    <col min="11" max="11" width="22.1640625" style="1" bestFit="1" customWidth="1" outlineLevel="1"/>
    <col min="12" max="12" width="11.6640625" style="1" bestFit="1" customWidth="1" outlineLevel="1"/>
    <col min="13" max="13" width="17.6640625" style="1" bestFit="1" customWidth="1" outlineLevel="1"/>
    <col min="14" max="14" width="21.6640625" style="1" bestFit="1" customWidth="1" outlineLevel="1"/>
    <col min="15" max="15" width="19.5" style="1" bestFit="1" customWidth="1" outlineLevel="1"/>
    <col min="16" max="16" width="13" style="1" bestFit="1" customWidth="1" outlineLevel="1"/>
    <col min="17" max="17" width="18.6640625" style="1" bestFit="1" customWidth="1" outlineLevel="1"/>
    <col min="18" max="18" width="3.33203125" style="4" customWidth="1"/>
    <col min="19" max="19" width="22.33203125" style="1" hidden="1" customWidth="1" outlineLevel="1"/>
    <col min="20" max="20" width="23.5" style="1" hidden="1" customWidth="1" outlineLevel="1"/>
    <col min="21" max="21" width="21.6640625" style="1" hidden="1" customWidth="1" outlineLevel="1"/>
    <col min="22" max="22" width="22.83203125" style="1" hidden="1" customWidth="1" outlineLevel="1"/>
    <col min="23" max="23" width="20.33203125" style="1" hidden="1" customWidth="1" outlineLevel="1"/>
    <col min="24" max="24" width="21.6640625" style="1" hidden="1" customWidth="1" outlineLevel="1"/>
    <col min="25" max="25" width="20.5" style="1" customWidth="1" collapsed="1"/>
    <col min="26" max="26" width="25.33203125" customWidth="1"/>
    <col min="27" max="16384" width="10.83203125" style="1"/>
  </cols>
  <sheetData>
    <row r="1" spans="1:27" ht="20" customHeight="1" x14ac:dyDescent="0.2">
      <c r="B1" s="2" t="s">
        <v>51</v>
      </c>
      <c r="C1" s="2"/>
      <c r="D1" s="2"/>
      <c r="E1" s="2"/>
      <c r="F1" s="2"/>
      <c r="G1" s="2"/>
      <c r="H1" s="3"/>
      <c r="I1" s="2" t="s">
        <v>52</v>
      </c>
      <c r="J1" s="2"/>
      <c r="K1" s="2"/>
      <c r="L1" s="2"/>
      <c r="M1" s="2"/>
      <c r="N1" s="2"/>
      <c r="O1" s="2"/>
      <c r="P1" s="2"/>
      <c r="Q1" s="2"/>
      <c r="R1" s="3"/>
      <c r="S1" s="2" t="s">
        <v>53</v>
      </c>
      <c r="T1" s="2"/>
      <c r="U1" s="2"/>
      <c r="V1" s="2"/>
      <c r="W1" s="2"/>
      <c r="X1" s="2"/>
    </row>
    <row r="2" spans="1:27" s="5" customFormat="1" ht="20" customHeight="1" x14ac:dyDescent="0.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S2" s="5" t="s">
        <v>16</v>
      </c>
      <c r="T2" s="5" t="s">
        <v>17</v>
      </c>
      <c r="U2" s="5" t="s">
        <v>18</v>
      </c>
      <c r="V2" s="5" t="s">
        <v>19</v>
      </c>
      <c r="W2" s="5" t="s">
        <v>20</v>
      </c>
      <c r="X2" s="5" t="s">
        <v>21</v>
      </c>
      <c r="Y2" s="5" t="s">
        <v>22</v>
      </c>
      <c r="Z2" s="5" t="s">
        <v>57</v>
      </c>
      <c r="AA2" s="5" t="s">
        <v>48</v>
      </c>
    </row>
    <row r="3" spans="1:27" ht="20" customHeight="1" x14ac:dyDescent="0.2">
      <c r="A3" s="1">
        <v>1</v>
      </c>
      <c r="B3" s="1" t="s">
        <v>23</v>
      </c>
      <c r="C3" s="1" t="s">
        <v>24</v>
      </c>
      <c r="D3" s="1">
        <v>5</v>
      </c>
      <c r="E3" s="1">
        <v>3</v>
      </c>
      <c r="F3" s="1">
        <v>0</v>
      </c>
      <c r="G3" s="1" t="s">
        <v>25</v>
      </c>
      <c r="I3" s="1">
        <v>38.019799999999996</v>
      </c>
      <c r="J3" s="1">
        <v>1.79</v>
      </c>
      <c r="K3" s="1">
        <v>1.0267999999999999</v>
      </c>
      <c r="L3" s="1">
        <v>14.771699999999999</v>
      </c>
      <c r="M3" s="1">
        <v>14.614000000000001</v>
      </c>
      <c r="N3" s="1">
        <v>14.437900000000001</v>
      </c>
      <c r="O3" s="1">
        <v>0.432</v>
      </c>
      <c r="P3" s="1">
        <v>13.812200000000001</v>
      </c>
      <c r="Q3" s="1">
        <v>5.9924999999999997</v>
      </c>
      <c r="S3" s="1">
        <v>1162</v>
      </c>
      <c r="T3" s="1">
        <v>562</v>
      </c>
      <c r="U3" s="1">
        <v>1028</v>
      </c>
      <c r="V3" s="1">
        <v>814</v>
      </c>
      <c r="W3" s="1">
        <v>257</v>
      </c>
      <c r="X3" s="1">
        <v>203.5</v>
      </c>
      <c r="Y3" s="1">
        <v>4</v>
      </c>
      <c r="Z3">
        <v>5</v>
      </c>
    </row>
    <row r="4" spans="1:27" ht="20" customHeight="1" x14ac:dyDescent="0.2">
      <c r="A4" s="1">
        <v>2</v>
      </c>
      <c r="B4" s="1" t="s">
        <v>23</v>
      </c>
      <c r="C4" s="1" t="s">
        <v>26</v>
      </c>
      <c r="D4" s="1">
        <v>5</v>
      </c>
      <c r="E4" s="1">
        <v>3</v>
      </c>
      <c r="F4" s="1">
        <v>0</v>
      </c>
      <c r="G4" s="1" t="s">
        <v>25</v>
      </c>
      <c r="I4" s="1">
        <v>25.857900000000001</v>
      </c>
      <c r="J4" s="1">
        <v>1.6840999999999999</v>
      </c>
      <c r="K4" s="1">
        <v>1.0232000000000001</v>
      </c>
      <c r="L4" s="1">
        <v>7.6795999999999998</v>
      </c>
      <c r="M4" s="1">
        <v>7.3489000000000004</v>
      </c>
      <c r="N4" s="1">
        <v>8.7030999999999992</v>
      </c>
      <c r="O4" s="1">
        <v>0.39910000000000001</v>
      </c>
      <c r="P4" s="1">
        <v>8.1353000000000009</v>
      </c>
      <c r="Q4" s="1">
        <v>6.7605000000000004</v>
      </c>
      <c r="S4" s="1">
        <v>487</v>
      </c>
      <c r="T4" s="1">
        <v>160</v>
      </c>
      <c r="U4" s="1">
        <v>300</v>
      </c>
      <c r="V4" s="1">
        <v>207</v>
      </c>
      <c r="W4" s="1">
        <v>300</v>
      </c>
      <c r="X4" s="1">
        <v>207</v>
      </c>
      <c r="Y4" s="1">
        <v>1</v>
      </c>
      <c r="Z4">
        <v>1</v>
      </c>
    </row>
    <row r="5" spans="1:27" ht="20" customHeight="1" x14ac:dyDescent="0.2">
      <c r="A5" s="1">
        <v>3</v>
      </c>
      <c r="B5" s="1" t="s">
        <v>23</v>
      </c>
      <c r="C5" s="1" t="s">
        <v>27</v>
      </c>
      <c r="D5" s="1">
        <v>5</v>
      </c>
      <c r="E5" s="1">
        <v>3</v>
      </c>
      <c r="F5" s="1">
        <v>0</v>
      </c>
      <c r="G5" s="1" t="s">
        <v>25</v>
      </c>
      <c r="I5" s="1">
        <v>35.828200000000002</v>
      </c>
      <c r="J5" s="1">
        <v>1.6232</v>
      </c>
      <c r="K5" s="1">
        <v>1.0330999999999999</v>
      </c>
      <c r="L5" s="1">
        <v>16.8873</v>
      </c>
      <c r="M5" s="1">
        <v>16.657599999999999</v>
      </c>
      <c r="N5" s="1">
        <v>9.5236000000000001</v>
      </c>
      <c r="O5" s="1">
        <v>0.43740000000000001</v>
      </c>
      <c r="P5" s="1">
        <v>7.9451000000000001</v>
      </c>
      <c r="Q5" s="1">
        <v>6.7601000000000004</v>
      </c>
      <c r="S5" s="1">
        <v>1737</v>
      </c>
      <c r="T5" s="1">
        <v>445</v>
      </c>
      <c r="U5" s="1">
        <v>838</v>
      </c>
      <c r="V5" s="1">
        <v>678</v>
      </c>
      <c r="W5" s="1">
        <v>279.33333333333297</v>
      </c>
      <c r="X5" s="1">
        <v>226</v>
      </c>
      <c r="Y5" s="1">
        <v>3</v>
      </c>
      <c r="Z5">
        <v>5</v>
      </c>
    </row>
    <row r="6" spans="1:27" ht="20" customHeight="1" x14ac:dyDescent="0.2">
      <c r="A6" s="1">
        <v>4</v>
      </c>
      <c r="B6" s="1" t="s">
        <v>23</v>
      </c>
      <c r="C6" s="1" t="s">
        <v>28</v>
      </c>
      <c r="D6" s="1">
        <v>5</v>
      </c>
      <c r="E6" s="1">
        <v>3</v>
      </c>
      <c r="F6" s="1">
        <v>0</v>
      </c>
      <c r="G6" s="1" t="s">
        <v>25</v>
      </c>
      <c r="I6" s="1">
        <v>29.0748</v>
      </c>
      <c r="J6" s="1">
        <v>1.5277000000000001</v>
      </c>
      <c r="K6" s="1">
        <v>0.92069999999999996</v>
      </c>
      <c r="L6" s="1">
        <v>10.7882</v>
      </c>
      <c r="M6" s="1">
        <v>10.6584</v>
      </c>
      <c r="N6" s="1">
        <v>8.2530999999999999</v>
      </c>
      <c r="O6" s="1">
        <v>0.41880000000000001</v>
      </c>
      <c r="P6" s="1">
        <v>7.6355000000000004</v>
      </c>
      <c r="Q6" s="1">
        <v>7.5846999999999998</v>
      </c>
      <c r="S6" s="1">
        <v>855</v>
      </c>
      <c r="T6" s="1">
        <v>231</v>
      </c>
      <c r="U6" s="1">
        <v>289</v>
      </c>
      <c r="V6" s="1">
        <v>217</v>
      </c>
      <c r="W6" s="1">
        <v>289</v>
      </c>
      <c r="X6" s="1">
        <v>217</v>
      </c>
      <c r="Y6" s="1">
        <v>1</v>
      </c>
      <c r="Z6">
        <v>3</v>
      </c>
    </row>
    <row r="7" spans="1:27" ht="20" customHeight="1" x14ac:dyDescent="0.2">
      <c r="A7" s="1">
        <v>5</v>
      </c>
      <c r="B7" s="1" t="s">
        <v>23</v>
      </c>
      <c r="C7" s="1" t="s">
        <v>29</v>
      </c>
      <c r="D7" s="1">
        <v>5</v>
      </c>
      <c r="E7" s="1">
        <v>3</v>
      </c>
      <c r="F7" s="1">
        <v>0</v>
      </c>
      <c r="G7" s="1" t="s">
        <v>25</v>
      </c>
      <c r="I7" s="1">
        <v>26.511099999999999</v>
      </c>
      <c r="J7" s="1">
        <v>1.6244000000000001</v>
      </c>
      <c r="K7" s="1">
        <v>0.9103</v>
      </c>
      <c r="L7" s="1">
        <v>9.8414000000000001</v>
      </c>
      <c r="M7" s="1">
        <v>9.6404999999999994</v>
      </c>
      <c r="N7" s="1">
        <v>9.6252999999999993</v>
      </c>
      <c r="O7" s="1">
        <v>0.45250000000000001</v>
      </c>
      <c r="P7" s="1">
        <v>8.077</v>
      </c>
      <c r="Q7" s="1">
        <v>4.5091000000000001</v>
      </c>
      <c r="S7" s="1">
        <v>1135</v>
      </c>
      <c r="T7" s="1">
        <v>557</v>
      </c>
      <c r="U7" s="1">
        <v>1149</v>
      </c>
      <c r="V7" s="1">
        <v>872</v>
      </c>
      <c r="W7" s="1">
        <v>287.25</v>
      </c>
      <c r="X7" s="1">
        <v>218</v>
      </c>
      <c r="Y7" s="1">
        <v>4</v>
      </c>
      <c r="Z7">
        <v>5</v>
      </c>
    </row>
    <row r="8" spans="1:27" ht="20" customHeight="1" x14ac:dyDescent="0.2">
      <c r="A8" s="1">
        <v>6</v>
      </c>
      <c r="B8" s="1" t="s">
        <v>23</v>
      </c>
      <c r="C8" s="1" t="s">
        <v>30</v>
      </c>
      <c r="D8" s="1">
        <v>5</v>
      </c>
      <c r="E8" s="1">
        <v>3</v>
      </c>
      <c r="F8" s="1">
        <v>0</v>
      </c>
      <c r="G8" s="1" t="s">
        <v>25</v>
      </c>
      <c r="I8" s="1">
        <v>35.219200000000001</v>
      </c>
      <c r="J8" s="1">
        <v>1.5205</v>
      </c>
      <c r="K8" s="1">
        <v>0.86599999999999999</v>
      </c>
      <c r="L8" s="1">
        <v>14.188800000000001</v>
      </c>
      <c r="M8" s="1">
        <v>13.9389</v>
      </c>
      <c r="N8" s="1">
        <v>11.678599999999999</v>
      </c>
      <c r="O8" s="1">
        <v>0.3972</v>
      </c>
      <c r="P8" s="1">
        <v>10.6243</v>
      </c>
      <c r="Q8" s="1">
        <v>6.9645999999999999</v>
      </c>
      <c r="S8" s="1">
        <v>1649</v>
      </c>
      <c r="T8" s="1">
        <v>491</v>
      </c>
      <c r="U8" s="1">
        <v>849</v>
      </c>
      <c r="V8" s="1">
        <v>663</v>
      </c>
      <c r="W8" s="1">
        <v>283</v>
      </c>
      <c r="X8" s="1">
        <v>221</v>
      </c>
      <c r="Y8" s="1">
        <v>3</v>
      </c>
      <c r="Z8">
        <v>8</v>
      </c>
    </row>
    <row r="9" spans="1:27" ht="20" customHeight="1" x14ac:dyDescent="0.2">
      <c r="A9" s="1">
        <v>7</v>
      </c>
      <c r="B9" s="1" t="s">
        <v>23</v>
      </c>
      <c r="C9" s="1" t="s">
        <v>31</v>
      </c>
      <c r="D9" s="1">
        <v>5</v>
      </c>
      <c r="E9" s="1">
        <v>3</v>
      </c>
      <c r="F9" s="1">
        <v>0</v>
      </c>
      <c r="G9" s="1" t="s">
        <v>25</v>
      </c>
      <c r="I9" s="1">
        <v>27.6388</v>
      </c>
      <c r="J9" s="1">
        <v>1.6237999999999999</v>
      </c>
      <c r="K9" s="1">
        <v>1.3385</v>
      </c>
      <c r="L9" s="1">
        <v>11.053800000000001</v>
      </c>
      <c r="M9" s="1">
        <v>10.837400000000001</v>
      </c>
      <c r="N9" s="1">
        <v>7.8822999999999999</v>
      </c>
      <c r="O9" s="1">
        <v>0.41660000000000003</v>
      </c>
      <c r="P9" s="1">
        <v>7.3109000000000002</v>
      </c>
      <c r="Q9" s="1">
        <v>5.7397999999999998</v>
      </c>
      <c r="S9" s="1">
        <v>1305</v>
      </c>
      <c r="T9" s="1">
        <v>442</v>
      </c>
      <c r="U9" s="1">
        <v>841</v>
      </c>
      <c r="V9" s="1">
        <v>617</v>
      </c>
      <c r="W9" s="1">
        <v>280.33333333333297</v>
      </c>
      <c r="X9" s="1">
        <v>205.666666666666</v>
      </c>
      <c r="Y9" s="1">
        <v>3</v>
      </c>
      <c r="Z9">
        <v>6</v>
      </c>
    </row>
    <row r="10" spans="1:27" ht="20" customHeight="1" x14ac:dyDescent="0.2">
      <c r="A10" s="1">
        <v>8</v>
      </c>
      <c r="B10" s="1" t="s">
        <v>23</v>
      </c>
      <c r="C10" s="1" t="s">
        <v>32</v>
      </c>
      <c r="D10" s="1">
        <v>5</v>
      </c>
      <c r="E10" s="1">
        <v>3</v>
      </c>
      <c r="F10" s="1">
        <v>0</v>
      </c>
      <c r="G10" s="1" t="s">
        <v>25</v>
      </c>
      <c r="I10" s="1">
        <v>43.564700000000002</v>
      </c>
      <c r="J10" s="1">
        <v>1.6375999999999999</v>
      </c>
      <c r="K10" s="1">
        <v>1.0741000000000001</v>
      </c>
      <c r="L10" s="1">
        <v>21.645</v>
      </c>
      <c r="M10" s="1">
        <v>21.42</v>
      </c>
      <c r="N10" s="1">
        <v>12.289199999999999</v>
      </c>
      <c r="O10" s="1">
        <v>0.44419999999999998</v>
      </c>
      <c r="P10" s="1">
        <v>10.7524</v>
      </c>
      <c r="Q10" s="1">
        <v>6.9180000000000001</v>
      </c>
      <c r="S10" s="1">
        <v>1234</v>
      </c>
      <c r="T10" s="1">
        <v>578</v>
      </c>
      <c r="U10" s="1">
        <v>1425</v>
      </c>
      <c r="V10" s="1">
        <v>1111</v>
      </c>
      <c r="W10" s="1">
        <v>285</v>
      </c>
      <c r="X10" s="1">
        <v>222.2</v>
      </c>
      <c r="Y10" s="1">
        <v>5</v>
      </c>
      <c r="Z10">
        <v>5</v>
      </c>
    </row>
    <row r="11" spans="1:27" ht="20" customHeight="1" x14ac:dyDescent="0.2">
      <c r="A11" s="1">
        <v>9</v>
      </c>
      <c r="B11" s="1" t="s">
        <v>23</v>
      </c>
      <c r="C11" s="1" t="s">
        <v>33</v>
      </c>
      <c r="D11" s="1">
        <v>5</v>
      </c>
      <c r="E11" s="1">
        <v>3</v>
      </c>
      <c r="F11" s="1">
        <v>0</v>
      </c>
      <c r="G11" s="1" t="s">
        <v>25</v>
      </c>
      <c r="I11" s="1">
        <v>42.935400000000001</v>
      </c>
      <c r="J11" s="1">
        <v>1.7733000000000001</v>
      </c>
      <c r="K11" s="1">
        <v>1.0573999999999999</v>
      </c>
      <c r="L11" s="1">
        <v>21.552600000000002</v>
      </c>
      <c r="M11" s="1">
        <v>21.3689</v>
      </c>
      <c r="N11" s="1">
        <v>9.7521000000000004</v>
      </c>
      <c r="O11" s="1">
        <v>0.45590000000000003</v>
      </c>
      <c r="P11" s="1">
        <v>8.1346000000000007</v>
      </c>
      <c r="Q11" s="1">
        <v>8.7988999999999997</v>
      </c>
      <c r="S11" s="1">
        <v>1803</v>
      </c>
      <c r="T11" s="1">
        <v>920</v>
      </c>
      <c r="U11" s="1">
        <v>1458</v>
      </c>
      <c r="V11" s="1">
        <v>1174</v>
      </c>
      <c r="W11" s="1">
        <v>291.60000000000002</v>
      </c>
      <c r="X11" s="1">
        <v>234.8</v>
      </c>
      <c r="Y11" s="1">
        <v>8</v>
      </c>
      <c r="Z11">
        <v>8</v>
      </c>
    </row>
    <row r="12" spans="1:27" ht="20" customHeight="1" x14ac:dyDescent="0.2">
      <c r="A12" s="1">
        <v>10</v>
      </c>
      <c r="B12" s="1" t="s">
        <v>23</v>
      </c>
      <c r="C12" s="1" t="s">
        <v>34</v>
      </c>
      <c r="D12" s="1">
        <v>5</v>
      </c>
      <c r="E12" s="1">
        <v>3</v>
      </c>
      <c r="F12" s="1">
        <v>0</v>
      </c>
      <c r="G12" s="1" t="s">
        <v>25</v>
      </c>
      <c r="I12" s="1">
        <v>29.283000000000001</v>
      </c>
      <c r="J12" s="1">
        <v>1.7356</v>
      </c>
      <c r="K12" s="1">
        <v>0.83220000000000005</v>
      </c>
      <c r="L12" s="1">
        <v>11.662000000000001</v>
      </c>
      <c r="M12" s="1">
        <v>11.489699999999999</v>
      </c>
      <c r="N12" s="1">
        <v>9.4343000000000004</v>
      </c>
      <c r="O12" s="1">
        <v>0.4345</v>
      </c>
      <c r="P12" s="1">
        <v>8.0478000000000005</v>
      </c>
      <c r="Q12" s="1">
        <v>5.6180000000000003</v>
      </c>
      <c r="S12" s="1">
        <v>1667</v>
      </c>
      <c r="T12" s="1">
        <v>676</v>
      </c>
      <c r="U12" s="1">
        <v>1312</v>
      </c>
      <c r="V12" s="1">
        <v>985</v>
      </c>
      <c r="W12" s="1">
        <v>262.39999999999998</v>
      </c>
      <c r="X12" s="1">
        <v>197</v>
      </c>
      <c r="Y12" s="1">
        <v>5</v>
      </c>
      <c r="Z12">
        <v>8</v>
      </c>
    </row>
    <row r="13" spans="1:27" ht="20" customHeight="1" x14ac:dyDescent="0.2">
      <c r="A13" s="1">
        <v>11</v>
      </c>
      <c r="B13" s="1" t="s">
        <v>23</v>
      </c>
      <c r="C13" s="1" t="s">
        <v>35</v>
      </c>
      <c r="D13" s="1">
        <v>5</v>
      </c>
      <c r="E13" s="1">
        <v>3</v>
      </c>
      <c r="F13" s="1">
        <v>0</v>
      </c>
      <c r="G13" s="1" t="s">
        <v>25</v>
      </c>
      <c r="I13" s="1">
        <v>36.7517</v>
      </c>
      <c r="J13" s="1">
        <v>1.7266999999999999</v>
      </c>
      <c r="K13" s="1">
        <v>0.92249999999999999</v>
      </c>
      <c r="L13" s="1">
        <v>15.6648</v>
      </c>
      <c r="M13" s="1">
        <v>15.456300000000001</v>
      </c>
      <c r="N13" s="1">
        <v>10.7546</v>
      </c>
      <c r="O13" s="1">
        <v>0.4481</v>
      </c>
      <c r="P13" s="1">
        <v>10.1648</v>
      </c>
      <c r="Q13" s="1">
        <v>7.6822999999999997</v>
      </c>
      <c r="S13" s="1">
        <v>1158</v>
      </c>
      <c r="T13" s="1">
        <v>476</v>
      </c>
      <c r="U13" s="1">
        <v>1042</v>
      </c>
      <c r="V13" s="1">
        <v>780</v>
      </c>
      <c r="W13" s="1">
        <v>260.5</v>
      </c>
      <c r="X13" s="1">
        <v>195</v>
      </c>
      <c r="Y13" s="1">
        <v>4</v>
      </c>
      <c r="Z13">
        <v>5</v>
      </c>
    </row>
    <row r="14" spans="1:27" ht="20" customHeight="1" x14ac:dyDescent="0.2">
      <c r="A14" s="1">
        <v>14</v>
      </c>
      <c r="B14" s="1" t="s">
        <v>39</v>
      </c>
      <c r="C14" s="1" t="s">
        <v>40</v>
      </c>
      <c r="D14" s="1">
        <v>5</v>
      </c>
      <c r="E14" s="1">
        <v>3</v>
      </c>
      <c r="F14" s="1">
        <v>0</v>
      </c>
      <c r="G14" s="1" t="s">
        <v>25</v>
      </c>
      <c r="I14" s="1">
        <v>27.408100000000001</v>
      </c>
      <c r="J14" s="1">
        <v>1.3975</v>
      </c>
      <c r="K14" s="1">
        <v>0.84730000000000005</v>
      </c>
      <c r="L14" s="1">
        <v>7.4112</v>
      </c>
      <c r="M14" s="1">
        <v>7.2457000000000003</v>
      </c>
      <c r="N14" s="1">
        <v>10.1774</v>
      </c>
      <c r="O14" s="1">
        <v>0.41830000000000001</v>
      </c>
      <c r="P14" s="1">
        <v>8.4649000000000001</v>
      </c>
      <c r="Q14" s="1">
        <v>7.5739999999999998</v>
      </c>
      <c r="S14" s="1">
        <v>788</v>
      </c>
      <c r="T14" s="1">
        <v>268</v>
      </c>
      <c r="U14" s="1">
        <v>572</v>
      </c>
      <c r="V14" s="1">
        <v>460</v>
      </c>
      <c r="W14" s="1">
        <v>286</v>
      </c>
      <c r="X14" s="1">
        <v>230</v>
      </c>
      <c r="Y14" s="1">
        <v>2</v>
      </c>
      <c r="Z14">
        <v>3</v>
      </c>
    </row>
    <row r="15" spans="1:27" ht="20" customHeight="1" x14ac:dyDescent="0.2">
      <c r="A15" s="1">
        <v>15</v>
      </c>
      <c r="B15" s="1" t="s">
        <v>39</v>
      </c>
      <c r="C15" s="1" t="s">
        <v>41</v>
      </c>
      <c r="D15" s="1">
        <v>5</v>
      </c>
      <c r="E15" s="1">
        <v>3</v>
      </c>
      <c r="F15" s="1">
        <v>0</v>
      </c>
      <c r="G15" s="1" t="s">
        <v>25</v>
      </c>
      <c r="I15" s="1">
        <v>22.1127</v>
      </c>
      <c r="J15" s="1">
        <v>1.7395</v>
      </c>
      <c r="K15" s="1">
        <v>1.02</v>
      </c>
      <c r="L15" s="1">
        <v>9.6204000000000001</v>
      </c>
      <c r="M15" s="1">
        <v>9.3985000000000003</v>
      </c>
      <c r="N15" s="1">
        <v>4.9195000000000002</v>
      </c>
      <c r="O15" s="1">
        <v>0.40550000000000003</v>
      </c>
      <c r="P15" s="1">
        <v>4.3106999999999998</v>
      </c>
      <c r="Q15" s="1">
        <v>4.8125999999999998</v>
      </c>
      <c r="S15" s="1">
        <v>794</v>
      </c>
      <c r="T15" s="1">
        <v>202</v>
      </c>
      <c r="U15" s="1">
        <v>294</v>
      </c>
      <c r="V15" s="1">
        <v>228</v>
      </c>
      <c r="W15" s="1">
        <v>294</v>
      </c>
      <c r="X15" s="1">
        <v>228</v>
      </c>
      <c r="Y15" s="1">
        <v>1</v>
      </c>
      <c r="Z15">
        <v>3</v>
      </c>
    </row>
    <row r="16" spans="1:27" ht="20" customHeight="1" x14ac:dyDescent="0.2">
      <c r="A16" s="1">
        <v>17</v>
      </c>
      <c r="B16" s="1" t="s">
        <v>42</v>
      </c>
      <c r="C16" s="1" t="s">
        <v>44</v>
      </c>
      <c r="D16" s="1">
        <v>5</v>
      </c>
      <c r="E16" s="1">
        <v>3</v>
      </c>
      <c r="F16" s="1">
        <v>0</v>
      </c>
      <c r="G16" s="1" t="s">
        <v>25</v>
      </c>
      <c r="I16" s="1">
        <v>49.535699999999999</v>
      </c>
      <c r="J16" s="1">
        <v>2.0184000000000002</v>
      </c>
      <c r="K16" s="1">
        <v>0.96530000000000005</v>
      </c>
      <c r="L16" s="1">
        <v>25.7651</v>
      </c>
      <c r="M16" s="1">
        <v>25.259599999999999</v>
      </c>
      <c r="N16" s="1">
        <v>9.3183000000000007</v>
      </c>
      <c r="O16" s="1">
        <v>0.46350000000000002</v>
      </c>
      <c r="P16" s="1">
        <v>8.0381</v>
      </c>
      <c r="Q16" s="1">
        <v>11.467499999999999</v>
      </c>
      <c r="S16" s="1">
        <v>5553</v>
      </c>
      <c r="T16" s="1">
        <v>1599</v>
      </c>
      <c r="U16" s="1">
        <v>1431</v>
      </c>
      <c r="V16" s="1">
        <v>1103</v>
      </c>
      <c r="W16" s="1">
        <v>286.2</v>
      </c>
      <c r="X16" s="1">
        <v>220.6</v>
      </c>
      <c r="Y16" s="1">
        <v>8</v>
      </c>
      <c r="Z16">
        <v>30</v>
      </c>
    </row>
    <row r="17" spans="1:27" ht="20" customHeight="1" x14ac:dyDescent="0.2">
      <c r="A17" s="1">
        <v>18</v>
      </c>
      <c r="B17" s="1" t="s">
        <v>42</v>
      </c>
      <c r="C17" s="1" t="s">
        <v>38</v>
      </c>
      <c r="D17" s="1">
        <v>5</v>
      </c>
      <c r="E17" s="1">
        <v>3</v>
      </c>
      <c r="F17" s="1">
        <v>0</v>
      </c>
      <c r="G17" s="1" t="s">
        <v>25</v>
      </c>
      <c r="I17" s="1">
        <v>33.251600000000003</v>
      </c>
      <c r="J17" s="1">
        <v>1.4234</v>
      </c>
      <c r="K17" s="1">
        <v>1.0377000000000001</v>
      </c>
      <c r="L17" s="1">
        <v>13.706200000000001</v>
      </c>
      <c r="M17" s="1">
        <v>13.4915</v>
      </c>
      <c r="N17" s="1">
        <v>9.2213999999999992</v>
      </c>
      <c r="O17" s="1">
        <v>0.4093</v>
      </c>
      <c r="P17" s="1">
        <v>8.6508000000000003</v>
      </c>
      <c r="Q17" s="1">
        <v>7.8621999999999996</v>
      </c>
      <c r="S17" s="1">
        <v>1328</v>
      </c>
      <c r="T17" s="1">
        <v>586</v>
      </c>
      <c r="U17" s="1">
        <v>1152</v>
      </c>
      <c r="V17" s="1">
        <v>902</v>
      </c>
      <c r="W17" s="1">
        <v>288</v>
      </c>
      <c r="X17" s="1">
        <v>225.5</v>
      </c>
      <c r="Y17" s="1">
        <v>4</v>
      </c>
      <c r="Z17">
        <v>6</v>
      </c>
    </row>
    <row r="18" spans="1:27" ht="20" customHeight="1" x14ac:dyDescent="0.2">
      <c r="A18" s="1">
        <v>19</v>
      </c>
      <c r="B18" s="1" t="s">
        <v>45</v>
      </c>
      <c r="C18" s="1" t="s">
        <v>46</v>
      </c>
      <c r="D18" s="1">
        <v>5</v>
      </c>
      <c r="E18" s="1">
        <v>3</v>
      </c>
      <c r="F18" s="1">
        <v>0</v>
      </c>
      <c r="G18" s="1" t="s">
        <v>25</v>
      </c>
      <c r="I18" s="1">
        <v>32.470399999999998</v>
      </c>
      <c r="J18" s="1">
        <v>1.3375999999999999</v>
      </c>
      <c r="K18" s="1">
        <v>0.80779999999999996</v>
      </c>
      <c r="L18" s="1">
        <v>14.038600000000001</v>
      </c>
      <c r="M18" s="1">
        <v>13.8338</v>
      </c>
      <c r="N18" s="1">
        <v>9.73</v>
      </c>
      <c r="O18" s="1">
        <v>0.45040000000000002</v>
      </c>
      <c r="P18" s="1">
        <v>8.5277999999999992</v>
      </c>
      <c r="Q18" s="1">
        <v>6.5545999999999998</v>
      </c>
      <c r="S18" s="1">
        <v>1746</v>
      </c>
      <c r="T18" s="1">
        <v>562</v>
      </c>
      <c r="U18" s="1">
        <v>1113</v>
      </c>
      <c r="V18" s="1">
        <v>856</v>
      </c>
      <c r="W18" s="1">
        <v>278.25</v>
      </c>
      <c r="X18" s="1">
        <v>214</v>
      </c>
      <c r="Y18" s="1">
        <v>4</v>
      </c>
      <c r="Z18">
        <v>8</v>
      </c>
    </row>
    <row r="19" spans="1:27" ht="20" customHeight="1" x14ac:dyDescent="0.2">
      <c r="A19" s="1">
        <v>21</v>
      </c>
      <c r="B19" s="1" t="s">
        <v>23</v>
      </c>
      <c r="C19" s="1" t="s">
        <v>24</v>
      </c>
      <c r="D19" s="1">
        <v>5</v>
      </c>
      <c r="E19" s="1">
        <v>3</v>
      </c>
      <c r="F19" s="1">
        <v>0.17</v>
      </c>
      <c r="G19" s="1" t="s">
        <v>47</v>
      </c>
      <c r="I19" s="1">
        <v>36.6417</v>
      </c>
      <c r="J19" s="1">
        <v>1.7568999999999999</v>
      </c>
      <c r="K19" s="1">
        <v>0.93799999999999994</v>
      </c>
      <c r="L19" s="1">
        <v>12.5382</v>
      </c>
      <c r="M19" s="1">
        <v>12.284599999999999</v>
      </c>
      <c r="N19" s="1">
        <v>12.494300000000001</v>
      </c>
      <c r="O19" s="1">
        <v>0.44269999999999998</v>
      </c>
      <c r="P19" s="1">
        <v>11.8475</v>
      </c>
      <c r="Q19" s="1">
        <v>8.9131999999999998</v>
      </c>
      <c r="S19" s="1">
        <v>1162</v>
      </c>
      <c r="T19" s="1">
        <v>545</v>
      </c>
      <c r="U19" s="1">
        <v>1028</v>
      </c>
      <c r="V19" s="1">
        <v>785</v>
      </c>
      <c r="W19" s="1">
        <v>257</v>
      </c>
      <c r="X19" s="1">
        <v>196.25</v>
      </c>
      <c r="Y19" s="1">
        <v>4</v>
      </c>
      <c r="Z19">
        <v>5</v>
      </c>
    </row>
    <row r="20" spans="1:27" ht="20" customHeight="1" x14ac:dyDescent="0.2">
      <c r="A20" s="1">
        <v>22</v>
      </c>
      <c r="B20" s="1" t="s">
        <v>23</v>
      </c>
      <c r="C20" s="1" t="s">
        <v>26</v>
      </c>
      <c r="D20" s="1">
        <v>5</v>
      </c>
      <c r="E20" s="1">
        <v>3</v>
      </c>
      <c r="F20" s="1">
        <v>0.17</v>
      </c>
      <c r="G20" s="1" t="s">
        <v>47</v>
      </c>
      <c r="I20" s="1">
        <v>24.503900000000002</v>
      </c>
      <c r="J20" s="1">
        <v>1.5172000000000001</v>
      </c>
      <c r="K20" s="1">
        <v>1.0229999999999999</v>
      </c>
      <c r="L20" s="1">
        <v>6.4363999999999999</v>
      </c>
      <c r="M20" s="1">
        <v>6.2257999999999996</v>
      </c>
      <c r="N20" s="1">
        <v>6.0552999999999999</v>
      </c>
      <c r="O20" s="1">
        <v>0.39529999999999998</v>
      </c>
      <c r="P20" s="1">
        <v>5.4214000000000002</v>
      </c>
      <c r="Q20" s="1">
        <v>9.4710000000000001</v>
      </c>
      <c r="S20" s="1">
        <v>487</v>
      </c>
      <c r="T20" s="1">
        <v>148</v>
      </c>
      <c r="U20" s="1">
        <v>300</v>
      </c>
      <c r="V20" s="1">
        <v>220</v>
      </c>
      <c r="W20" s="1">
        <v>300</v>
      </c>
      <c r="X20" s="1">
        <v>220</v>
      </c>
      <c r="Y20" s="1">
        <v>1</v>
      </c>
      <c r="Z20">
        <v>1</v>
      </c>
    </row>
    <row r="21" spans="1:27" ht="20" customHeight="1" x14ac:dyDescent="0.2">
      <c r="A21" s="1">
        <v>23</v>
      </c>
      <c r="B21" s="1" t="s">
        <v>23</v>
      </c>
      <c r="C21" s="1" t="s">
        <v>26</v>
      </c>
      <c r="D21" s="1">
        <v>5</v>
      </c>
      <c r="E21" s="1">
        <v>3</v>
      </c>
      <c r="F21" s="1">
        <v>0.1</v>
      </c>
      <c r="G21" s="1" t="s">
        <v>47</v>
      </c>
      <c r="I21" s="1">
        <v>29.840499999999999</v>
      </c>
      <c r="J21" s="1">
        <v>1.5773999999999999</v>
      </c>
      <c r="K21" s="1">
        <v>1.0221</v>
      </c>
      <c r="L21" s="1">
        <v>6.1425000000000001</v>
      </c>
      <c r="M21" s="1">
        <v>5.9381000000000004</v>
      </c>
      <c r="N21" s="1">
        <v>10.3329</v>
      </c>
      <c r="O21" s="1">
        <v>0.42030000000000001</v>
      </c>
      <c r="P21" s="1">
        <v>9.2669999999999995</v>
      </c>
      <c r="Q21" s="1">
        <v>10.764699999999999</v>
      </c>
      <c r="S21" s="1">
        <v>487</v>
      </c>
      <c r="T21" s="1">
        <v>161</v>
      </c>
      <c r="U21" s="1">
        <v>296</v>
      </c>
      <c r="V21" s="1">
        <v>232</v>
      </c>
      <c r="W21" s="1">
        <v>296</v>
      </c>
      <c r="X21" s="1">
        <v>232</v>
      </c>
      <c r="Y21" s="1">
        <v>1</v>
      </c>
      <c r="Z21">
        <v>1</v>
      </c>
    </row>
    <row r="22" spans="1:27" ht="20" customHeight="1" x14ac:dyDescent="0.2">
      <c r="A22" s="1">
        <v>25</v>
      </c>
      <c r="B22" s="1" t="s">
        <v>42</v>
      </c>
      <c r="C22" s="1" t="s">
        <v>43</v>
      </c>
      <c r="D22" s="1">
        <v>5</v>
      </c>
      <c r="E22" s="1">
        <v>3</v>
      </c>
      <c r="F22" s="1">
        <v>0</v>
      </c>
      <c r="G22" s="1" t="s">
        <v>47</v>
      </c>
      <c r="I22" s="1">
        <v>50.580199999999998</v>
      </c>
      <c r="J22" s="1">
        <v>1.5225</v>
      </c>
      <c r="K22" s="1">
        <v>0.94840000000000002</v>
      </c>
      <c r="L22" s="1">
        <v>25.273800000000001</v>
      </c>
      <c r="M22" s="1">
        <v>24.992799999999999</v>
      </c>
      <c r="N22" s="1">
        <v>12.363</v>
      </c>
      <c r="O22" s="1">
        <v>0.4556</v>
      </c>
      <c r="P22" s="1">
        <v>11.8233</v>
      </c>
      <c r="Q22" s="1">
        <v>10.471399999999999</v>
      </c>
      <c r="S22" s="1">
        <v>5893</v>
      </c>
      <c r="T22" s="1">
        <v>1568</v>
      </c>
      <c r="U22" s="1">
        <v>1423</v>
      </c>
      <c r="V22" s="1">
        <v>1159</v>
      </c>
      <c r="W22" s="1">
        <v>284.60000000000002</v>
      </c>
      <c r="X22" s="1">
        <v>231.8</v>
      </c>
      <c r="Y22" s="1">
        <v>8</v>
      </c>
      <c r="Z22">
        <v>32</v>
      </c>
    </row>
    <row r="23" spans="1:27" ht="20" customHeight="1" x14ac:dyDescent="0.2">
      <c r="A23" s="1">
        <v>26</v>
      </c>
      <c r="B23" s="1" t="s">
        <v>42</v>
      </c>
      <c r="C23" s="1" t="s">
        <v>43</v>
      </c>
      <c r="D23" s="1">
        <v>5</v>
      </c>
      <c r="E23" s="1">
        <v>3</v>
      </c>
      <c r="F23" s="1">
        <v>0</v>
      </c>
      <c r="G23" s="1" t="s">
        <v>25</v>
      </c>
      <c r="I23" s="1">
        <v>50.623600000000003</v>
      </c>
      <c r="J23" s="1">
        <v>1.7739</v>
      </c>
      <c r="K23" s="1">
        <v>1.0491999999999999</v>
      </c>
      <c r="L23" s="1">
        <v>30.735800000000001</v>
      </c>
      <c r="M23" s="1">
        <v>30.5825</v>
      </c>
      <c r="N23" s="1">
        <v>10.813599999999999</v>
      </c>
      <c r="O23" s="1">
        <v>0.45979999999999999</v>
      </c>
      <c r="P23" s="1">
        <v>10.1661</v>
      </c>
      <c r="Q23" s="1">
        <v>6.2497999999999996</v>
      </c>
      <c r="S23" s="1">
        <v>5893</v>
      </c>
      <c r="T23" s="1">
        <v>1284</v>
      </c>
      <c r="U23" s="1">
        <v>1390</v>
      </c>
      <c r="V23" s="1">
        <v>1091</v>
      </c>
      <c r="W23" s="1">
        <v>278</v>
      </c>
      <c r="X23" s="1">
        <v>218.2</v>
      </c>
      <c r="Y23" s="1">
        <v>5</v>
      </c>
      <c r="Z23">
        <v>32</v>
      </c>
    </row>
    <row r="25" spans="1:27" ht="20" customHeight="1" x14ac:dyDescent="0.2">
      <c r="A25" s="1" t="s">
        <v>50</v>
      </c>
      <c r="I25" s="1">
        <f>AVERAGE(I3:I23)</f>
        <v>34.65014285714286</v>
      </c>
      <c r="J25" s="1">
        <f t="shared" ref="J25:Q25" si="0">AVERAGE(J3:J23)</f>
        <v>1.6348190476190474</v>
      </c>
      <c r="K25" s="1">
        <f t="shared" si="0"/>
        <v>0.98398095238095218</v>
      </c>
      <c r="L25" s="1">
        <f t="shared" si="0"/>
        <v>14.638257142857142</v>
      </c>
      <c r="M25" s="1">
        <f t="shared" si="0"/>
        <v>14.413499999999999</v>
      </c>
      <c r="N25" s="1">
        <f t="shared" si="0"/>
        <v>9.8933238095238085</v>
      </c>
      <c r="O25" s="1">
        <f t="shared" si="0"/>
        <v>0.43128571428571433</v>
      </c>
      <c r="P25" s="1">
        <f t="shared" si="0"/>
        <v>8.9122619047619054</v>
      </c>
      <c r="Q25" s="1">
        <f t="shared" si="0"/>
        <v>7.4985476190476179</v>
      </c>
    </row>
    <row r="26" spans="1:27" ht="20" customHeight="1" x14ac:dyDescent="0.2">
      <c r="A26" s="1" t="s">
        <v>54</v>
      </c>
      <c r="I26" s="1">
        <f>MIN(I3:I23)</f>
        <v>22.1127</v>
      </c>
      <c r="J26" s="1">
        <f t="shared" ref="J26:Q26" si="1">MIN(J3:J23)</f>
        <v>1.3375999999999999</v>
      </c>
      <c r="K26" s="1">
        <f t="shared" si="1"/>
        <v>0.80779999999999996</v>
      </c>
      <c r="L26" s="1">
        <f t="shared" si="1"/>
        <v>6.1425000000000001</v>
      </c>
      <c r="M26" s="1">
        <f t="shared" si="1"/>
        <v>5.9381000000000004</v>
      </c>
      <c r="N26" s="1">
        <f t="shared" si="1"/>
        <v>4.9195000000000002</v>
      </c>
      <c r="O26" s="1">
        <f t="shared" si="1"/>
        <v>0.39529999999999998</v>
      </c>
      <c r="P26" s="1">
        <f t="shared" si="1"/>
        <v>4.3106999999999998</v>
      </c>
      <c r="Q26" s="1">
        <f t="shared" si="1"/>
        <v>4.5091000000000001</v>
      </c>
    </row>
    <row r="27" spans="1:27" ht="20" customHeight="1" x14ac:dyDescent="0.2">
      <c r="A27" s="1" t="s">
        <v>55</v>
      </c>
      <c r="I27" s="1">
        <f>MAX(I3:I23)</f>
        <v>50.623600000000003</v>
      </c>
      <c r="J27" s="1">
        <f t="shared" ref="J27:Q27" si="2">MAX(J3:J23)</f>
        <v>2.0184000000000002</v>
      </c>
      <c r="K27" s="1">
        <f t="shared" si="2"/>
        <v>1.3385</v>
      </c>
      <c r="L27" s="1">
        <f t="shared" si="2"/>
        <v>30.735800000000001</v>
      </c>
      <c r="M27" s="1">
        <f t="shared" si="2"/>
        <v>30.5825</v>
      </c>
      <c r="N27" s="1">
        <f t="shared" si="2"/>
        <v>14.437900000000001</v>
      </c>
      <c r="O27" s="1">
        <f t="shared" si="2"/>
        <v>0.46350000000000002</v>
      </c>
      <c r="P27" s="1">
        <f t="shared" si="2"/>
        <v>13.812200000000001</v>
      </c>
      <c r="Q27" s="1">
        <f t="shared" si="2"/>
        <v>11.467499999999999</v>
      </c>
    </row>
    <row r="30" spans="1:27" ht="20" customHeight="1" x14ac:dyDescent="0.2">
      <c r="A30" s="1" t="s">
        <v>56</v>
      </c>
    </row>
    <row r="31" spans="1:27" ht="20" customHeight="1" x14ac:dyDescent="0.2">
      <c r="A31" s="1">
        <v>12</v>
      </c>
      <c r="B31" s="1" t="s">
        <v>36</v>
      </c>
      <c r="C31" s="1" t="s">
        <v>37</v>
      </c>
      <c r="D31" s="1">
        <v>5</v>
      </c>
      <c r="E31" s="1">
        <v>3</v>
      </c>
      <c r="F31" s="1">
        <v>0</v>
      </c>
      <c r="G31" s="1" t="s">
        <v>25</v>
      </c>
      <c r="I31" s="1">
        <v>2.4563999999999999</v>
      </c>
      <c r="J31" s="1">
        <v>1.5155000000000001</v>
      </c>
      <c r="K31" s="1">
        <v>0.94069999999999998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>
        <v>0</v>
      </c>
      <c r="AA31" s="1" t="s">
        <v>49</v>
      </c>
    </row>
    <row r="32" spans="1:27" ht="20" customHeight="1" x14ac:dyDescent="0.2">
      <c r="A32" s="1">
        <v>13</v>
      </c>
      <c r="B32" s="1" t="s">
        <v>36</v>
      </c>
      <c r="C32" s="1" t="s">
        <v>38</v>
      </c>
      <c r="D32" s="1">
        <v>5</v>
      </c>
      <c r="E32" s="1">
        <v>3</v>
      </c>
      <c r="F32" s="1">
        <v>0</v>
      </c>
      <c r="G32" s="1" t="s">
        <v>25</v>
      </c>
      <c r="I32" s="1">
        <v>2.5552000000000001</v>
      </c>
      <c r="J32" s="1">
        <v>1.5078</v>
      </c>
      <c r="K32" s="1">
        <v>1.0468999999999999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>
        <v>0</v>
      </c>
      <c r="AA32" s="1" t="s">
        <v>49</v>
      </c>
    </row>
    <row r="33" spans="1:26" ht="20" customHeight="1" x14ac:dyDescent="0.2">
      <c r="A33" s="1">
        <v>16</v>
      </c>
      <c r="B33" s="1" t="s">
        <v>42</v>
      </c>
      <c r="C33" s="1" t="s">
        <v>43</v>
      </c>
      <c r="D33" s="1">
        <v>5</v>
      </c>
      <c r="E33" s="1">
        <v>3</v>
      </c>
      <c r="F33" s="1">
        <v>0</v>
      </c>
      <c r="G33" s="1" t="s">
        <v>25</v>
      </c>
      <c r="I33" s="1">
        <v>32.463700000000003</v>
      </c>
      <c r="J33" s="1">
        <v>1.3194999999999999</v>
      </c>
      <c r="K33" s="1">
        <v>1.0506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>
        <v>0</v>
      </c>
    </row>
    <row r="34" spans="1:26" ht="20" customHeight="1" x14ac:dyDescent="0.2">
      <c r="A34" s="1">
        <v>20</v>
      </c>
      <c r="B34" s="1" t="s">
        <v>42</v>
      </c>
      <c r="C34" s="1" t="s">
        <v>43</v>
      </c>
      <c r="D34" s="1">
        <v>5</v>
      </c>
      <c r="E34" s="1">
        <v>3</v>
      </c>
      <c r="F34" s="1">
        <v>0</v>
      </c>
      <c r="G34" s="1" t="s">
        <v>25</v>
      </c>
      <c r="I34" s="1">
        <v>32.987900000000003</v>
      </c>
      <c r="J34" s="1">
        <v>1.7657</v>
      </c>
      <c r="K34" s="1">
        <v>1.0927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>
        <v>0</v>
      </c>
    </row>
    <row r="35" spans="1:26" ht="20" customHeight="1" x14ac:dyDescent="0.2">
      <c r="A35" s="1">
        <v>24</v>
      </c>
      <c r="B35" s="1" t="s">
        <v>42</v>
      </c>
      <c r="C35" s="1" t="s">
        <v>43</v>
      </c>
      <c r="D35" s="1">
        <v>5</v>
      </c>
      <c r="E35" s="1">
        <v>3</v>
      </c>
      <c r="F35" s="1">
        <v>0</v>
      </c>
      <c r="G35" s="1" t="s">
        <v>47</v>
      </c>
      <c r="I35" s="1">
        <v>32.852800000000002</v>
      </c>
      <c r="J35" s="1">
        <v>1.6477999999999999</v>
      </c>
      <c r="K35" s="1">
        <v>1.1046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>
        <v>0</v>
      </c>
    </row>
  </sheetData>
  <mergeCells count="3">
    <mergeCell ref="B1:G1"/>
    <mergeCell ref="I1:Q1"/>
    <mergeCell ref="S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1967-66C6-9543-B52A-D374E5C3D1B9}">
  <sheetPr filterMode="1"/>
  <dimension ref="A1:AJ46"/>
  <sheetViews>
    <sheetView zoomScale="75" workbookViewId="0">
      <pane xSplit="7" ySplit="2" topLeftCell="I3" activePane="bottomRight" state="frozen"/>
      <selection pane="topRight" activeCell="H1" sqref="H1"/>
      <selection pane="bottomLeft" activeCell="A3" sqref="A3"/>
      <selection pane="bottomRight" activeCell="AA23" sqref="AA23"/>
    </sheetView>
  </sheetViews>
  <sheetFormatPr baseColWidth="10" defaultRowHeight="20" customHeight="1" outlineLevelCol="2" x14ac:dyDescent="0.2"/>
  <cols>
    <col min="1" max="1" width="11.83203125" style="1" bestFit="1" customWidth="1"/>
    <col min="2" max="2" width="14.83203125" style="1" customWidth="1" outlineLevel="1"/>
    <col min="3" max="4" width="33.5" style="1" customWidth="1" outlineLevel="1"/>
    <col min="5" max="5" width="45" style="1" customWidth="1" outlineLevel="1"/>
    <col min="6" max="6" width="11.6640625" style="1" hidden="1" customWidth="1" outlineLevel="2"/>
    <col min="7" max="7" width="24.1640625" style="1" hidden="1" customWidth="1" outlineLevel="2"/>
    <col min="8" max="8" width="17" style="1" customWidth="1" outlineLevel="1" collapsed="1"/>
    <col min="9" max="9" width="8.33203125" style="1" customWidth="1" outlineLevel="1"/>
    <col min="10" max="10" width="3.1640625" style="4" customWidth="1"/>
    <col min="11" max="11" width="20" style="1" hidden="1" customWidth="1" outlineLevel="1"/>
    <col min="12" max="12" width="22.1640625" style="1" hidden="1" customWidth="1" outlineLevel="1"/>
    <col min="13" max="13" width="21.6640625" style="1" hidden="1" customWidth="1" outlineLevel="2"/>
    <col min="14" max="14" width="22.1640625" style="1" hidden="1" customWidth="1" outlineLevel="2"/>
    <col min="15" max="15" width="16.6640625" style="1" hidden="1" customWidth="1" outlineLevel="1" collapsed="1"/>
    <col min="16" max="16" width="17" style="1" hidden="1" customWidth="1" outlineLevel="1"/>
    <col min="17" max="17" width="25" style="1" hidden="1" customWidth="1" outlineLevel="1"/>
    <col min="18" max="18" width="23.5" style="1" hidden="1" customWidth="1" outlineLevel="2"/>
    <col min="19" max="19" width="17.6640625" style="1" hidden="1" customWidth="1" outlineLevel="2"/>
    <col min="20" max="20" width="23.5" style="1" hidden="1" customWidth="1" outlineLevel="1" collapsed="1"/>
    <col min="21" max="21" width="3.33203125" style="4" customWidth="1" collapsed="1"/>
    <col min="22" max="22" width="22.33203125" style="1" customWidth="1" outlineLevel="1"/>
    <col min="23" max="23" width="23.5" style="1" customWidth="1" outlineLevel="1"/>
    <col min="24" max="24" width="21.6640625" style="1" customWidth="1" outlineLevel="1"/>
    <col min="25" max="25" width="22.83203125" style="1" customWidth="1" outlineLevel="1"/>
    <col min="26" max="26" width="20.33203125" style="1" customWidth="1" outlineLevel="1"/>
    <col min="27" max="27" width="21.6640625" style="1" customWidth="1" outlineLevel="1"/>
    <col min="28" max="28" width="20.5" style="1" customWidth="1"/>
    <col min="29" max="29" width="25.33203125" customWidth="1"/>
    <col min="30" max="30" width="13.5" style="1" customWidth="1"/>
    <col min="31" max="31" width="3.33203125" style="4" customWidth="1" collapsed="1"/>
    <col min="32" max="32" width="17.6640625" style="1" customWidth="1"/>
    <col min="33" max="33" width="34.83203125" style="1" customWidth="1"/>
    <col min="34" max="35" width="59.6640625" style="1" customWidth="1"/>
    <col min="36" max="16384" width="10.83203125" style="1"/>
  </cols>
  <sheetData>
    <row r="1" spans="1:36" ht="20" customHeight="1" x14ac:dyDescent="0.2">
      <c r="B1" s="2" t="s">
        <v>51</v>
      </c>
      <c r="C1" s="2"/>
      <c r="D1" s="2"/>
      <c r="E1" s="2"/>
      <c r="F1" s="2"/>
      <c r="G1" s="2"/>
      <c r="H1" s="2"/>
      <c r="I1" s="2"/>
      <c r="J1" s="3"/>
      <c r="K1" s="8"/>
      <c r="L1" s="2" t="s">
        <v>52</v>
      </c>
      <c r="M1" s="2"/>
      <c r="N1" s="2"/>
      <c r="O1" s="2"/>
      <c r="P1" s="2"/>
      <c r="Q1" s="2"/>
      <c r="R1" s="2"/>
      <c r="S1" s="2"/>
      <c r="T1" s="2"/>
      <c r="U1" s="3"/>
      <c r="V1" s="2" t="s">
        <v>53</v>
      </c>
      <c r="W1" s="2"/>
      <c r="X1" s="2"/>
      <c r="Y1" s="2"/>
      <c r="Z1" s="2"/>
      <c r="AA1" s="2"/>
      <c r="AE1" s="3"/>
    </row>
    <row r="2" spans="1:36" s="5" customFormat="1" ht="20" customHeight="1" x14ac:dyDescent="0.2">
      <c r="A2" s="5" t="s">
        <v>0</v>
      </c>
      <c r="B2" s="5" t="s">
        <v>1</v>
      </c>
      <c r="C2" s="5" t="s">
        <v>2</v>
      </c>
      <c r="D2" s="5" t="s">
        <v>98</v>
      </c>
      <c r="E2" s="5" t="s">
        <v>99</v>
      </c>
      <c r="F2" s="5" t="s">
        <v>3</v>
      </c>
      <c r="G2" s="5" t="s">
        <v>4</v>
      </c>
      <c r="H2" s="5" t="s">
        <v>5</v>
      </c>
      <c r="I2" s="5" t="s">
        <v>6</v>
      </c>
      <c r="K2" s="5" t="s">
        <v>59</v>
      </c>
      <c r="L2" s="5" t="s">
        <v>7</v>
      </c>
      <c r="M2" s="5" t="s">
        <v>8</v>
      </c>
      <c r="N2" s="5" t="s">
        <v>9</v>
      </c>
      <c r="O2" s="5" t="s">
        <v>58</v>
      </c>
      <c r="P2" s="5" t="s">
        <v>10</v>
      </c>
      <c r="Q2" s="5" t="s">
        <v>12</v>
      </c>
      <c r="R2" s="5" t="s">
        <v>13</v>
      </c>
      <c r="S2" s="5" t="s">
        <v>14</v>
      </c>
      <c r="T2" s="5" t="s">
        <v>15</v>
      </c>
      <c r="V2" s="5" t="s">
        <v>16</v>
      </c>
      <c r="W2" s="5" t="s">
        <v>17</v>
      </c>
      <c r="X2" s="5" t="s">
        <v>18</v>
      </c>
      <c r="Y2" s="5" t="s">
        <v>19</v>
      </c>
      <c r="Z2" s="5" t="s">
        <v>20</v>
      </c>
      <c r="AA2" s="5" t="s">
        <v>21</v>
      </c>
      <c r="AB2" s="5" t="s">
        <v>22</v>
      </c>
      <c r="AC2" s="5" t="s">
        <v>57</v>
      </c>
      <c r="AD2" s="5" t="s">
        <v>48</v>
      </c>
      <c r="AF2" s="5" t="s">
        <v>122</v>
      </c>
      <c r="AG2" s="5" t="s">
        <v>123</v>
      </c>
      <c r="AH2" s="5" t="s">
        <v>143</v>
      </c>
      <c r="AI2" s="5" t="s">
        <v>144</v>
      </c>
      <c r="AJ2" s="5" t="s">
        <v>145</v>
      </c>
    </row>
    <row r="3" spans="1:36" ht="20" customHeight="1" x14ac:dyDescent="0.2">
      <c r="A3" s="9">
        <v>5</v>
      </c>
      <c r="B3" s="9" t="s">
        <v>23</v>
      </c>
      <c r="C3" s="9" t="s">
        <v>29</v>
      </c>
      <c r="D3" s="9" t="s">
        <v>85</v>
      </c>
      <c r="E3" s="9" t="s">
        <v>104</v>
      </c>
      <c r="F3" s="9">
        <v>5</v>
      </c>
      <c r="G3" s="9">
        <v>3</v>
      </c>
      <c r="H3" s="9">
        <v>0</v>
      </c>
      <c r="I3" s="9" t="s">
        <v>25</v>
      </c>
      <c r="K3" s="11" t="s">
        <v>61</v>
      </c>
      <c r="L3" s="25">
        <v>26.511099999999999</v>
      </c>
      <c r="M3" s="7">
        <v>1.6244000000000001</v>
      </c>
      <c r="N3" s="7">
        <v>0.9103</v>
      </c>
      <c r="O3" s="11">
        <f>M3+N3</f>
        <v>2.5347</v>
      </c>
      <c r="P3" s="11">
        <v>9.8414000000000001</v>
      </c>
      <c r="Q3" s="11">
        <v>9.6252999999999993</v>
      </c>
      <c r="R3" s="6">
        <v>0.45250000000000001</v>
      </c>
      <c r="S3" s="7">
        <v>8.077</v>
      </c>
      <c r="T3" s="11">
        <v>4.5091000000000001</v>
      </c>
      <c r="V3" s="7">
        <v>1135</v>
      </c>
      <c r="W3" s="7">
        <v>557</v>
      </c>
      <c r="X3" s="7">
        <v>1149</v>
      </c>
      <c r="Y3" s="7">
        <v>872</v>
      </c>
      <c r="Z3" s="7">
        <v>287.25</v>
      </c>
      <c r="AA3" s="7">
        <v>218</v>
      </c>
      <c r="AB3" s="9">
        <v>4</v>
      </c>
      <c r="AC3" s="10">
        <v>5</v>
      </c>
      <c r="AD3" s="1" t="s">
        <v>135</v>
      </c>
      <c r="AF3" s="1" t="s">
        <v>126</v>
      </c>
      <c r="AG3" s="1" t="s">
        <v>134</v>
      </c>
      <c r="AH3" s="27" t="s">
        <v>146</v>
      </c>
    </row>
    <row r="4" spans="1:36" ht="20" hidden="1" customHeight="1" x14ac:dyDescent="0.2">
      <c r="A4" s="19">
        <v>2</v>
      </c>
      <c r="B4" s="19" t="s">
        <v>23</v>
      </c>
      <c r="C4" s="19" t="s">
        <v>26</v>
      </c>
      <c r="D4" s="19" t="s">
        <v>81</v>
      </c>
      <c r="E4" s="19" t="s">
        <v>101</v>
      </c>
      <c r="F4" s="19">
        <v>5</v>
      </c>
      <c r="G4" s="19">
        <v>3</v>
      </c>
      <c r="H4" s="19">
        <v>0</v>
      </c>
      <c r="I4" s="19" t="s">
        <v>25</v>
      </c>
      <c r="K4" s="20" t="s">
        <v>61</v>
      </c>
      <c r="L4" s="20">
        <v>25.857900000000001</v>
      </c>
      <c r="M4" s="20">
        <v>1.6840999999999999</v>
      </c>
      <c r="N4" s="20">
        <v>1.0232000000000001</v>
      </c>
      <c r="O4" s="20">
        <f>M4+N4</f>
        <v>2.7073</v>
      </c>
      <c r="P4" s="20">
        <v>7.6795999999999998</v>
      </c>
      <c r="Q4" s="20">
        <v>8.7030999999999992</v>
      </c>
      <c r="R4" s="21">
        <v>0.39910000000000001</v>
      </c>
      <c r="S4" s="20">
        <v>8.1353000000000009</v>
      </c>
      <c r="T4" s="20">
        <v>6.7605000000000004</v>
      </c>
      <c r="V4" s="19">
        <v>487</v>
      </c>
      <c r="W4" s="19">
        <v>160</v>
      </c>
      <c r="X4" s="19">
        <v>300</v>
      </c>
      <c r="Y4" s="19">
        <v>207</v>
      </c>
      <c r="Z4" s="19">
        <v>300</v>
      </c>
      <c r="AA4" s="19">
        <v>207</v>
      </c>
      <c r="AB4" s="19">
        <v>1</v>
      </c>
      <c r="AC4" s="22">
        <v>1</v>
      </c>
      <c r="AF4" s="1" t="s">
        <v>128</v>
      </c>
      <c r="AG4" s="1" t="s">
        <v>131</v>
      </c>
    </row>
    <row r="5" spans="1:36" ht="20" customHeight="1" x14ac:dyDescent="0.2">
      <c r="A5" s="9">
        <v>7</v>
      </c>
      <c r="B5" s="9" t="s">
        <v>23</v>
      </c>
      <c r="C5" s="9" t="s">
        <v>31</v>
      </c>
      <c r="D5" s="9" t="s">
        <v>87</v>
      </c>
      <c r="E5" s="9" t="s">
        <v>106</v>
      </c>
      <c r="F5" s="9">
        <v>5</v>
      </c>
      <c r="G5" s="9">
        <v>3</v>
      </c>
      <c r="H5" s="9">
        <v>0</v>
      </c>
      <c r="I5" s="9" t="s">
        <v>25</v>
      </c>
      <c r="K5" s="11" t="s">
        <v>61</v>
      </c>
      <c r="L5" s="25">
        <v>27.6388</v>
      </c>
      <c r="M5" s="7">
        <v>1.6237999999999999</v>
      </c>
      <c r="N5" s="7">
        <v>1.3385</v>
      </c>
      <c r="O5" s="11">
        <f>M5+N5</f>
        <v>2.9622999999999999</v>
      </c>
      <c r="P5" s="11">
        <v>11.053800000000001</v>
      </c>
      <c r="Q5" s="11">
        <v>7.8822999999999999</v>
      </c>
      <c r="R5" s="6">
        <v>0.41660000000000003</v>
      </c>
      <c r="S5" s="7">
        <v>7.3109000000000002</v>
      </c>
      <c r="T5" s="11">
        <v>5.7397999999999998</v>
      </c>
      <c r="V5" s="7">
        <v>1305</v>
      </c>
      <c r="W5" s="7">
        <v>442</v>
      </c>
      <c r="X5" s="7">
        <v>841</v>
      </c>
      <c r="Y5" s="7">
        <v>617</v>
      </c>
      <c r="Z5" s="7">
        <v>280.33333333333297</v>
      </c>
      <c r="AA5" s="7">
        <v>205.666666666666</v>
      </c>
      <c r="AB5" s="9">
        <v>3</v>
      </c>
      <c r="AC5" s="10">
        <v>6</v>
      </c>
      <c r="AD5" s="1" t="s">
        <v>78</v>
      </c>
      <c r="AF5" s="1" t="s">
        <v>127</v>
      </c>
      <c r="AG5" s="1" t="s">
        <v>137</v>
      </c>
    </row>
    <row r="6" spans="1:36" ht="20" hidden="1" customHeight="1" x14ac:dyDescent="0.2">
      <c r="A6" s="9">
        <v>4</v>
      </c>
      <c r="B6" s="9" t="s">
        <v>23</v>
      </c>
      <c r="C6" s="9" t="s">
        <v>28</v>
      </c>
      <c r="D6" s="9" t="s">
        <v>84</v>
      </c>
      <c r="E6" s="9" t="s">
        <v>103</v>
      </c>
      <c r="F6" s="9">
        <v>5</v>
      </c>
      <c r="G6" s="9">
        <v>3</v>
      </c>
      <c r="H6" s="9">
        <v>0</v>
      </c>
      <c r="I6" s="9" t="s">
        <v>25</v>
      </c>
      <c r="K6" s="11" t="s">
        <v>61</v>
      </c>
      <c r="L6" s="11">
        <v>29.0748</v>
      </c>
      <c r="M6" s="7">
        <v>1.5277000000000001</v>
      </c>
      <c r="N6" s="7">
        <v>0.92069999999999996</v>
      </c>
      <c r="O6" s="11">
        <f>M6+N6</f>
        <v>2.4483999999999999</v>
      </c>
      <c r="P6" s="11">
        <v>10.7882</v>
      </c>
      <c r="Q6" s="11">
        <v>8.2530999999999999</v>
      </c>
      <c r="R6" s="6">
        <v>0.41880000000000001</v>
      </c>
      <c r="S6" s="7">
        <v>7.6355000000000004</v>
      </c>
      <c r="T6" s="11">
        <v>7.5846999999999998</v>
      </c>
      <c r="V6" s="1">
        <v>855</v>
      </c>
      <c r="W6" s="1">
        <v>231</v>
      </c>
      <c r="X6" s="1">
        <v>289</v>
      </c>
      <c r="Y6" s="1">
        <v>217</v>
      </c>
      <c r="Z6" s="1">
        <v>289</v>
      </c>
      <c r="AA6" s="1">
        <v>217</v>
      </c>
      <c r="AB6" s="9">
        <v>1</v>
      </c>
      <c r="AC6" s="10">
        <v>3</v>
      </c>
      <c r="AF6" s="1" t="s">
        <v>125</v>
      </c>
      <c r="AG6" s="1" t="s">
        <v>133</v>
      </c>
    </row>
    <row r="7" spans="1:36" ht="20" customHeight="1" x14ac:dyDescent="0.2">
      <c r="A7" s="19">
        <v>14</v>
      </c>
      <c r="B7" s="19" t="s">
        <v>39</v>
      </c>
      <c r="C7" s="19" t="s">
        <v>40</v>
      </c>
      <c r="D7" s="19" t="s">
        <v>93</v>
      </c>
      <c r="E7" s="19" t="s">
        <v>112</v>
      </c>
      <c r="F7" s="19">
        <v>5</v>
      </c>
      <c r="G7" s="19">
        <v>3</v>
      </c>
      <c r="H7" s="19">
        <v>0</v>
      </c>
      <c r="I7" s="19" t="s">
        <v>25</v>
      </c>
      <c r="K7" s="20" t="s">
        <v>61</v>
      </c>
      <c r="L7" s="21">
        <v>27.408100000000001</v>
      </c>
      <c r="M7" s="20">
        <v>1.3975</v>
      </c>
      <c r="N7" s="20">
        <v>0.84730000000000005</v>
      </c>
      <c r="O7" s="20">
        <f>M7+N7</f>
        <v>2.2448000000000001</v>
      </c>
      <c r="P7" s="20">
        <v>7.4112</v>
      </c>
      <c r="Q7" s="20">
        <v>10.1774</v>
      </c>
      <c r="R7" s="21">
        <v>0.41830000000000001</v>
      </c>
      <c r="S7" s="20">
        <v>8.4649000000000001</v>
      </c>
      <c r="T7" s="20">
        <v>7.5739999999999998</v>
      </c>
      <c r="V7" s="20">
        <v>788</v>
      </c>
      <c r="W7" s="20">
        <v>268</v>
      </c>
      <c r="X7" s="20">
        <v>572</v>
      </c>
      <c r="Y7" s="20">
        <v>460</v>
      </c>
      <c r="Z7" s="20">
        <v>286</v>
      </c>
      <c r="AA7" s="20">
        <v>230</v>
      </c>
      <c r="AB7" s="19">
        <v>2</v>
      </c>
      <c r="AC7" s="22">
        <v>3</v>
      </c>
      <c r="AD7" s="1" t="s">
        <v>135</v>
      </c>
      <c r="AF7" s="1" t="s">
        <v>128</v>
      </c>
      <c r="AG7" s="1" t="s">
        <v>137</v>
      </c>
    </row>
    <row r="8" spans="1:36" ht="20" customHeight="1" x14ac:dyDescent="0.2">
      <c r="A8" s="9">
        <v>15</v>
      </c>
      <c r="B8" s="9" t="s">
        <v>39</v>
      </c>
      <c r="C8" s="9" t="s">
        <v>41</v>
      </c>
      <c r="D8" s="9" t="s">
        <v>94</v>
      </c>
      <c r="E8" s="9" t="s">
        <v>113</v>
      </c>
      <c r="F8" s="9">
        <v>5</v>
      </c>
      <c r="G8" s="9">
        <v>3</v>
      </c>
      <c r="H8" s="9">
        <v>0</v>
      </c>
      <c r="I8" s="9" t="s">
        <v>25</v>
      </c>
      <c r="K8" s="11" t="s">
        <v>61</v>
      </c>
      <c r="L8" s="25">
        <v>22.1127</v>
      </c>
      <c r="M8" s="7">
        <v>1.7395</v>
      </c>
      <c r="N8" s="7">
        <v>1.02</v>
      </c>
      <c r="O8" s="11">
        <f>M8+N8</f>
        <v>2.7595000000000001</v>
      </c>
      <c r="P8" s="11">
        <v>9.6204000000000001</v>
      </c>
      <c r="Q8" s="11">
        <v>4.9195000000000002</v>
      </c>
      <c r="R8" s="6">
        <v>0.40550000000000003</v>
      </c>
      <c r="S8" s="7">
        <v>4.3106999999999998</v>
      </c>
      <c r="T8" s="11">
        <v>4.8125999999999998</v>
      </c>
      <c r="V8" s="7">
        <v>794</v>
      </c>
      <c r="W8" s="7">
        <v>202</v>
      </c>
      <c r="X8" s="7">
        <v>294</v>
      </c>
      <c r="Y8" s="7">
        <v>228</v>
      </c>
      <c r="Z8" s="7">
        <v>294</v>
      </c>
      <c r="AA8" s="7">
        <v>228</v>
      </c>
      <c r="AB8" s="9">
        <v>1</v>
      </c>
      <c r="AC8" s="10">
        <v>3</v>
      </c>
      <c r="AD8" s="1" t="s">
        <v>78</v>
      </c>
      <c r="AF8" s="1" t="s">
        <v>128</v>
      </c>
      <c r="AG8" s="1" t="s">
        <v>137</v>
      </c>
    </row>
    <row r="9" spans="1:36" ht="20" customHeight="1" x14ac:dyDescent="0.2">
      <c r="A9" s="19">
        <v>22</v>
      </c>
      <c r="B9" s="19" t="s">
        <v>23</v>
      </c>
      <c r="C9" s="19" t="s">
        <v>26</v>
      </c>
      <c r="D9" s="19" t="s">
        <v>81</v>
      </c>
      <c r="E9" s="19" t="s">
        <v>118</v>
      </c>
      <c r="F9" s="19">
        <v>5</v>
      </c>
      <c r="G9" s="19">
        <v>3</v>
      </c>
      <c r="H9" s="19">
        <v>0.17</v>
      </c>
      <c r="I9" s="19" t="s">
        <v>47</v>
      </c>
      <c r="K9" s="20" t="s">
        <v>61</v>
      </c>
      <c r="L9" s="21">
        <v>24.503900000000002</v>
      </c>
      <c r="M9" s="20">
        <v>1.5172000000000001</v>
      </c>
      <c r="N9" s="20">
        <v>1.0229999999999999</v>
      </c>
      <c r="O9" s="20">
        <f>M9+N9</f>
        <v>2.5402</v>
      </c>
      <c r="P9" s="20">
        <v>6.4363999999999999</v>
      </c>
      <c r="Q9" s="20">
        <v>6.0552999999999999</v>
      </c>
      <c r="R9" s="21">
        <v>0.39529999999999998</v>
      </c>
      <c r="S9" s="20">
        <v>5.4214000000000002</v>
      </c>
      <c r="T9" s="20">
        <v>9.4710000000000001</v>
      </c>
      <c r="V9" s="20">
        <v>487</v>
      </c>
      <c r="W9" s="20">
        <v>148</v>
      </c>
      <c r="X9" s="20">
        <v>300</v>
      </c>
      <c r="Y9" s="20">
        <v>220</v>
      </c>
      <c r="Z9" s="20">
        <v>300</v>
      </c>
      <c r="AA9" s="20">
        <v>220</v>
      </c>
      <c r="AB9" s="19">
        <v>1</v>
      </c>
      <c r="AC9" s="22">
        <v>1</v>
      </c>
      <c r="AD9" s="19" t="s">
        <v>78</v>
      </c>
      <c r="AF9" s="19" t="s">
        <v>128</v>
      </c>
      <c r="AG9" s="19" t="s">
        <v>137</v>
      </c>
    </row>
    <row r="10" spans="1:36" ht="20" hidden="1" customHeight="1" x14ac:dyDescent="0.2">
      <c r="A10" s="19">
        <v>8</v>
      </c>
      <c r="B10" s="19" t="s">
        <v>23</v>
      </c>
      <c r="C10" s="19" t="s">
        <v>32</v>
      </c>
      <c r="D10" s="19" t="s">
        <v>88</v>
      </c>
      <c r="E10" s="19" t="s">
        <v>107</v>
      </c>
      <c r="F10" s="19">
        <v>5</v>
      </c>
      <c r="G10" s="19">
        <v>3</v>
      </c>
      <c r="H10" s="19">
        <v>0</v>
      </c>
      <c r="I10" s="19" t="s">
        <v>25</v>
      </c>
      <c r="K10" s="20" t="s">
        <v>62</v>
      </c>
      <c r="L10" s="20">
        <v>43.564700000000002</v>
      </c>
      <c r="M10" s="20">
        <v>1.6375999999999999</v>
      </c>
      <c r="N10" s="20">
        <v>1.0741000000000001</v>
      </c>
      <c r="O10" s="20">
        <f>M10+N10</f>
        <v>2.7117</v>
      </c>
      <c r="P10" s="20">
        <v>21.645</v>
      </c>
      <c r="Q10" s="20">
        <v>12.289199999999999</v>
      </c>
      <c r="R10" s="21">
        <v>0.44419999999999998</v>
      </c>
      <c r="S10" s="20">
        <v>10.7524</v>
      </c>
      <c r="T10" s="20">
        <v>6.9180000000000001</v>
      </c>
      <c r="V10" s="19">
        <v>1234</v>
      </c>
      <c r="W10" s="19">
        <v>578</v>
      </c>
      <c r="X10" s="19">
        <v>1425</v>
      </c>
      <c r="Y10" s="19">
        <v>1111</v>
      </c>
      <c r="Z10" s="19">
        <v>285</v>
      </c>
      <c r="AA10" s="19">
        <v>222.2</v>
      </c>
      <c r="AB10" s="19">
        <v>5</v>
      </c>
      <c r="AC10" s="22">
        <v>5</v>
      </c>
      <c r="AD10" s="19"/>
      <c r="AF10" s="1" t="s">
        <v>128</v>
      </c>
      <c r="AG10" s="1" t="s">
        <v>136</v>
      </c>
    </row>
    <row r="11" spans="1:36" ht="20" hidden="1" customHeight="1" x14ac:dyDescent="0.2">
      <c r="A11" s="19">
        <v>9</v>
      </c>
      <c r="B11" s="19" t="s">
        <v>23</v>
      </c>
      <c r="C11" s="19" t="s">
        <v>33</v>
      </c>
      <c r="D11" s="19" t="s">
        <v>89</v>
      </c>
      <c r="E11" s="19" t="s">
        <v>108</v>
      </c>
      <c r="F11" s="19">
        <v>5</v>
      </c>
      <c r="G11" s="19">
        <v>3</v>
      </c>
      <c r="H11" s="19">
        <v>0</v>
      </c>
      <c r="I11" s="19" t="s">
        <v>25</v>
      </c>
      <c r="K11" s="20" t="s">
        <v>62</v>
      </c>
      <c r="L11" s="20">
        <v>42.935400000000001</v>
      </c>
      <c r="M11" s="20">
        <v>1.7733000000000001</v>
      </c>
      <c r="N11" s="20">
        <v>1.0573999999999999</v>
      </c>
      <c r="O11" s="20">
        <f>M11+N11</f>
        <v>2.8307000000000002</v>
      </c>
      <c r="P11" s="20">
        <v>21.552600000000002</v>
      </c>
      <c r="Q11" s="20">
        <v>9.7521000000000004</v>
      </c>
      <c r="R11" s="21">
        <v>0.45590000000000003</v>
      </c>
      <c r="S11" s="20">
        <v>8.1346000000000007</v>
      </c>
      <c r="T11" s="20">
        <v>8.7988999999999997</v>
      </c>
      <c r="V11" s="19">
        <v>1803</v>
      </c>
      <c r="W11" s="19">
        <v>920</v>
      </c>
      <c r="X11" s="19">
        <v>1458</v>
      </c>
      <c r="Y11" s="19">
        <v>1174</v>
      </c>
      <c r="Z11" s="19">
        <v>291.60000000000002</v>
      </c>
      <c r="AA11" s="19">
        <v>234.8</v>
      </c>
      <c r="AB11" s="19">
        <v>8</v>
      </c>
      <c r="AC11" s="22">
        <v>8</v>
      </c>
      <c r="AD11" s="19"/>
      <c r="AF11" s="1" t="s">
        <v>128</v>
      </c>
      <c r="AG11" s="1" t="s">
        <v>137</v>
      </c>
    </row>
    <row r="12" spans="1:36" ht="20" hidden="1" customHeight="1" x14ac:dyDescent="0.2">
      <c r="A12" s="9">
        <v>10</v>
      </c>
      <c r="B12" s="9" t="s">
        <v>23</v>
      </c>
      <c r="C12" s="9" t="s">
        <v>34</v>
      </c>
      <c r="D12" s="9" t="s">
        <v>90</v>
      </c>
      <c r="E12" s="9" t="s">
        <v>109</v>
      </c>
      <c r="F12" s="9">
        <v>5</v>
      </c>
      <c r="G12" s="9">
        <v>3</v>
      </c>
      <c r="H12" s="9">
        <v>0</v>
      </c>
      <c r="I12" s="9" t="s">
        <v>25</v>
      </c>
      <c r="K12" s="11" t="s">
        <v>61</v>
      </c>
      <c r="L12" s="11">
        <v>29.283000000000001</v>
      </c>
      <c r="M12" s="7">
        <v>1.7356</v>
      </c>
      <c r="N12" s="7">
        <v>0.83220000000000005</v>
      </c>
      <c r="O12" s="11">
        <f>M12+N12</f>
        <v>2.5678000000000001</v>
      </c>
      <c r="P12" s="11">
        <v>11.662000000000001</v>
      </c>
      <c r="Q12" s="11">
        <v>9.4343000000000004</v>
      </c>
      <c r="R12" s="6">
        <v>0.4345</v>
      </c>
      <c r="S12" s="7">
        <v>8.0478000000000005</v>
      </c>
      <c r="T12" s="11">
        <v>5.6180000000000003</v>
      </c>
      <c r="V12" s="1">
        <v>1667</v>
      </c>
      <c r="W12" s="1">
        <v>676</v>
      </c>
      <c r="X12" s="1">
        <v>1312</v>
      </c>
      <c r="Y12" s="1">
        <v>985</v>
      </c>
      <c r="Z12" s="1">
        <v>262.39999999999998</v>
      </c>
      <c r="AA12" s="1">
        <v>197</v>
      </c>
      <c r="AB12" s="9">
        <v>5</v>
      </c>
      <c r="AC12" s="10">
        <v>8</v>
      </c>
      <c r="AF12" s="1" t="s">
        <v>124</v>
      </c>
      <c r="AG12" s="1" t="s">
        <v>138</v>
      </c>
    </row>
    <row r="13" spans="1:36" ht="20" customHeight="1" x14ac:dyDescent="0.2">
      <c r="A13" s="9">
        <v>23</v>
      </c>
      <c r="B13" s="9" t="s">
        <v>23</v>
      </c>
      <c r="C13" s="9" t="s">
        <v>26</v>
      </c>
      <c r="D13" s="9" t="s">
        <v>81</v>
      </c>
      <c r="E13" s="9" t="s">
        <v>119</v>
      </c>
      <c r="F13" s="9">
        <v>5</v>
      </c>
      <c r="G13" s="9">
        <v>3</v>
      </c>
      <c r="H13" s="9">
        <v>0.1</v>
      </c>
      <c r="I13" s="9" t="s">
        <v>47</v>
      </c>
      <c r="K13" s="11" t="s">
        <v>61</v>
      </c>
      <c r="L13" s="25">
        <v>29.840499999999999</v>
      </c>
      <c r="M13" s="7">
        <v>1.5773999999999999</v>
      </c>
      <c r="N13" s="7">
        <v>1.0221</v>
      </c>
      <c r="O13" s="11">
        <f>M13+N13</f>
        <v>2.5994999999999999</v>
      </c>
      <c r="P13" s="11">
        <v>6.1425000000000001</v>
      </c>
      <c r="Q13" s="11">
        <v>10.3329</v>
      </c>
      <c r="R13" s="6">
        <v>0.42030000000000001</v>
      </c>
      <c r="S13" s="7">
        <v>9.2669999999999995</v>
      </c>
      <c r="T13" s="11">
        <v>10.764699999999999</v>
      </c>
      <c r="V13" s="7">
        <v>487</v>
      </c>
      <c r="W13" s="7">
        <v>161</v>
      </c>
      <c r="X13" s="7">
        <v>296</v>
      </c>
      <c r="Y13" s="7">
        <v>232</v>
      </c>
      <c r="Z13" s="7">
        <v>296</v>
      </c>
      <c r="AA13" s="7">
        <v>232</v>
      </c>
      <c r="AB13" s="9">
        <v>1</v>
      </c>
      <c r="AC13" s="10">
        <v>1</v>
      </c>
      <c r="AD13" s="1" t="s">
        <v>78</v>
      </c>
      <c r="AF13" s="1" t="s">
        <v>128</v>
      </c>
      <c r="AG13" s="1" t="s">
        <v>137</v>
      </c>
    </row>
    <row r="14" spans="1:36" ht="20" customHeight="1" x14ac:dyDescent="0.2">
      <c r="A14" s="12">
        <v>1</v>
      </c>
      <c r="B14" s="12" t="s">
        <v>23</v>
      </c>
      <c r="C14" s="12" t="s">
        <v>24</v>
      </c>
      <c r="D14" s="12" t="s">
        <v>82</v>
      </c>
      <c r="E14" s="12" t="s">
        <v>100</v>
      </c>
      <c r="F14" s="12">
        <v>5</v>
      </c>
      <c r="G14" s="12">
        <v>3</v>
      </c>
      <c r="H14" s="12">
        <v>0</v>
      </c>
      <c r="I14" s="12" t="s">
        <v>25</v>
      </c>
      <c r="K14" s="13" t="s">
        <v>60</v>
      </c>
      <c r="L14" s="24">
        <v>38.019799999999996</v>
      </c>
      <c r="M14" s="7">
        <v>1.79</v>
      </c>
      <c r="N14" s="7">
        <v>1.0267999999999999</v>
      </c>
      <c r="O14" s="13">
        <f>M14+N14</f>
        <v>2.8167999999999997</v>
      </c>
      <c r="P14" s="13">
        <v>14.771699999999999</v>
      </c>
      <c r="Q14" s="13">
        <v>14.437900000000001</v>
      </c>
      <c r="R14" s="6">
        <v>0.432</v>
      </c>
      <c r="S14" s="7">
        <v>13.812200000000001</v>
      </c>
      <c r="T14" s="13">
        <v>5.9924999999999997</v>
      </c>
      <c r="V14" s="7">
        <v>1162</v>
      </c>
      <c r="W14" s="7">
        <v>562</v>
      </c>
      <c r="X14" s="7">
        <v>1028</v>
      </c>
      <c r="Y14" s="7">
        <v>814</v>
      </c>
      <c r="Z14" s="7">
        <v>257</v>
      </c>
      <c r="AA14" s="7">
        <v>203.5</v>
      </c>
      <c r="AB14" s="12">
        <v>4</v>
      </c>
      <c r="AC14" s="14">
        <v>5</v>
      </c>
      <c r="AD14" s="1" t="s">
        <v>78</v>
      </c>
      <c r="AF14" s="1" t="s">
        <v>124</v>
      </c>
      <c r="AG14" s="1" t="s">
        <v>130</v>
      </c>
    </row>
    <row r="15" spans="1:36" ht="20" customHeight="1" x14ac:dyDescent="0.2">
      <c r="A15" s="12">
        <v>3</v>
      </c>
      <c r="B15" s="12" t="s">
        <v>23</v>
      </c>
      <c r="C15" s="12" t="s">
        <v>27</v>
      </c>
      <c r="D15" s="12" t="s">
        <v>83</v>
      </c>
      <c r="E15" s="12" t="s">
        <v>102</v>
      </c>
      <c r="F15" s="12">
        <v>5</v>
      </c>
      <c r="G15" s="12">
        <v>3</v>
      </c>
      <c r="H15" s="12">
        <v>0</v>
      </c>
      <c r="I15" s="12" t="s">
        <v>25</v>
      </c>
      <c r="K15" s="13" t="s">
        <v>60</v>
      </c>
      <c r="L15" s="24">
        <v>35.828200000000002</v>
      </c>
      <c r="M15" s="7">
        <v>1.6232</v>
      </c>
      <c r="N15" s="7">
        <v>1.0330999999999999</v>
      </c>
      <c r="O15" s="13">
        <f>M15+N15</f>
        <v>2.6562999999999999</v>
      </c>
      <c r="P15" s="13">
        <v>16.8873</v>
      </c>
      <c r="Q15" s="13">
        <v>9.5236000000000001</v>
      </c>
      <c r="R15" s="6">
        <v>0.43740000000000001</v>
      </c>
      <c r="S15" s="7">
        <v>7.9451000000000001</v>
      </c>
      <c r="T15" s="13">
        <v>6.7601000000000004</v>
      </c>
      <c r="V15" s="7">
        <v>1737</v>
      </c>
      <c r="W15" s="7">
        <v>445</v>
      </c>
      <c r="X15" s="7">
        <v>838</v>
      </c>
      <c r="Y15" s="7">
        <v>678</v>
      </c>
      <c r="Z15" s="7">
        <v>279.33333333333297</v>
      </c>
      <c r="AA15" s="7">
        <v>226</v>
      </c>
      <c r="AB15" s="12">
        <v>3</v>
      </c>
      <c r="AC15" s="14">
        <v>5</v>
      </c>
      <c r="AD15" s="1" t="s">
        <v>78</v>
      </c>
      <c r="AF15" s="1" t="s">
        <v>125</v>
      </c>
      <c r="AG15" s="1" t="s">
        <v>132</v>
      </c>
    </row>
    <row r="16" spans="1:36" ht="20" customHeight="1" x14ac:dyDescent="0.2">
      <c r="A16" s="12">
        <v>6</v>
      </c>
      <c r="B16" s="12" t="s">
        <v>23</v>
      </c>
      <c r="C16" s="12" t="s">
        <v>30</v>
      </c>
      <c r="D16" s="12" t="s">
        <v>86</v>
      </c>
      <c r="E16" s="12" t="s">
        <v>105</v>
      </c>
      <c r="F16" s="12">
        <v>5</v>
      </c>
      <c r="G16" s="12">
        <v>3</v>
      </c>
      <c r="H16" s="12">
        <v>0</v>
      </c>
      <c r="I16" s="12" t="s">
        <v>25</v>
      </c>
      <c r="K16" s="13" t="s">
        <v>60</v>
      </c>
      <c r="L16" s="24">
        <v>35.219200000000001</v>
      </c>
      <c r="M16" s="7">
        <v>1.5205</v>
      </c>
      <c r="N16" s="7">
        <v>0.86599999999999999</v>
      </c>
      <c r="O16" s="13">
        <f>M16+N16</f>
        <v>2.3864999999999998</v>
      </c>
      <c r="P16" s="13">
        <v>14.188800000000001</v>
      </c>
      <c r="Q16" s="13">
        <v>11.678599999999999</v>
      </c>
      <c r="R16" s="6">
        <v>0.3972</v>
      </c>
      <c r="S16" s="7">
        <v>10.6243</v>
      </c>
      <c r="T16" s="13">
        <v>6.9645999999999999</v>
      </c>
      <c r="V16" s="7">
        <v>1649</v>
      </c>
      <c r="W16" s="7">
        <v>491</v>
      </c>
      <c r="X16" s="7">
        <v>849</v>
      </c>
      <c r="Y16" s="7">
        <v>663</v>
      </c>
      <c r="Z16" s="7">
        <v>283</v>
      </c>
      <c r="AA16" s="7">
        <v>221</v>
      </c>
      <c r="AB16" s="12">
        <v>3</v>
      </c>
      <c r="AC16" s="14">
        <v>8</v>
      </c>
      <c r="AD16" s="1" t="s">
        <v>135</v>
      </c>
      <c r="AF16" s="1" t="s">
        <v>126</v>
      </c>
      <c r="AG16" s="1" t="s">
        <v>136</v>
      </c>
    </row>
    <row r="17" spans="1:33" ht="20" customHeight="1" x14ac:dyDescent="0.2">
      <c r="A17" s="12">
        <v>11</v>
      </c>
      <c r="B17" s="12" t="s">
        <v>23</v>
      </c>
      <c r="C17" s="12" t="s">
        <v>35</v>
      </c>
      <c r="D17" s="12" t="s">
        <v>91</v>
      </c>
      <c r="E17" s="12" t="s">
        <v>110</v>
      </c>
      <c r="F17" s="12">
        <v>5</v>
      </c>
      <c r="G17" s="12">
        <v>3</v>
      </c>
      <c r="H17" s="12">
        <v>0</v>
      </c>
      <c r="I17" s="12" t="s">
        <v>25</v>
      </c>
      <c r="K17" s="13" t="s">
        <v>60</v>
      </c>
      <c r="L17" s="24">
        <v>36.7517</v>
      </c>
      <c r="M17" s="7">
        <v>1.7266999999999999</v>
      </c>
      <c r="N17" s="7">
        <v>0.92249999999999999</v>
      </c>
      <c r="O17" s="13">
        <f>M17+N17</f>
        <v>2.6492</v>
      </c>
      <c r="P17" s="13">
        <v>15.6648</v>
      </c>
      <c r="Q17" s="13">
        <v>10.7546</v>
      </c>
      <c r="R17" s="6">
        <v>0.4481</v>
      </c>
      <c r="S17" s="7">
        <v>10.1648</v>
      </c>
      <c r="T17" s="13">
        <v>7.6822999999999997</v>
      </c>
      <c r="V17" s="7">
        <v>1158</v>
      </c>
      <c r="W17" s="7">
        <v>476</v>
      </c>
      <c r="X17" s="7">
        <v>1042</v>
      </c>
      <c r="Y17" s="7">
        <v>780</v>
      </c>
      <c r="Z17" s="7">
        <v>260.5</v>
      </c>
      <c r="AA17" s="7">
        <v>195</v>
      </c>
      <c r="AB17" s="12">
        <v>4</v>
      </c>
      <c r="AC17" s="14">
        <v>5</v>
      </c>
      <c r="AD17" s="1" t="s">
        <v>135</v>
      </c>
      <c r="AF17" s="1" t="s">
        <v>124</v>
      </c>
      <c r="AG17" s="1" t="s">
        <v>137</v>
      </c>
    </row>
    <row r="18" spans="1:33" s="19" customFormat="1" ht="20" customHeight="1" x14ac:dyDescent="0.2">
      <c r="A18" s="12">
        <v>18</v>
      </c>
      <c r="B18" s="12" t="s">
        <v>42</v>
      </c>
      <c r="C18" s="12" t="s">
        <v>38</v>
      </c>
      <c r="D18" s="12" t="s">
        <v>92</v>
      </c>
      <c r="E18" s="12" t="s">
        <v>115</v>
      </c>
      <c r="F18" s="12">
        <v>5</v>
      </c>
      <c r="G18" s="12">
        <v>3</v>
      </c>
      <c r="H18" s="12">
        <v>0</v>
      </c>
      <c r="I18" s="12" t="s">
        <v>25</v>
      </c>
      <c r="J18" s="4"/>
      <c r="K18" s="13" t="s">
        <v>60</v>
      </c>
      <c r="L18" s="24">
        <v>33.251600000000003</v>
      </c>
      <c r="M18" s="7">
        <v>1.4234</v>
      </c>
      <c r="N18" s="7">
        <v>1.0377000000000001</v>
      </c>
      <c r="O18" s="13">
        <f>M18+N18</f>
        <v>2.4611000000000001</v>
      </c>
      <c r="P18" s="13">
        <v>13.706200000000001</v>
      </c>
      <c r="Q18" s="13">
        <v>9.2213999999999992</v>
      </c>
      <c r="R18" s="6">
        <v>0.4093</v>
      </c>
      <c r="S18" s="7">
        <v>8.6508000000000003</v>
      </c>
      <c r="T18" s="13">
        <v>7.8621999999999996</v>
      </c>
      <c r="U18" s="4"/>
      <c r="V18" s="7">
        <v>1328</v>
      </c>
      <c r="W18" s="7">
        <v>586</v>
      </c>
      <c r="X18" s="7">
        <v>1152</v>
      </c>
      <c r="Y18" s="7">
        <v>902</v>
      </c>
      <c r="Z18" s="7">
        <v>288</v>
      </c>
      <c r="AA18" s="7">
        <v>225.5</v>
      </c>
      <c r="AB18" s="12">
        <v>4</v>
      </c>
      <c r="AC18" s="14">
        <v>6</v>
      </c>
      <c r="AD18" s="1" t="s">
        <v>78</v>
      </c>
      <c r="AE18" s="4"/>
      <c r="AF18" s="1" t="s">
        <v>125</v>
      </c>
      <c r="AG18" s="1" t="s">
        <v>140</v>
      </c>
    </row>
    <row r="19" spans="1:33" s="19" customFormat="1" ht="20" hidden="1" customHeight="1" x14ac:dyDescent="0.2">
      <c r="A19" s="12">
        <v>21</v>
      </c>
      <c r="B19" s="12" t="s">
        <v>23</v>
      </c>
      <c r="C19" s="12" t="s">
        <v>24</v>
      </c>
      <c r="D19" s="12" t="s">
        <v>82</v>
      </c>
      <c r="E19" s="12" t="s">
        <v>117</v>
      </c>
      <c r="F19" s="12">
        <v>5</v>
      </c>
      <c r="G19" s="12">
        <v>3</v>
      </c>
      <c r="H19" s="12">
        <v>0.17</v>
      </c>
      <c r="I19" s="12" t="s">
        <v>47</v>
      </c>
      <c r="J19" s="4"/>
      <c r="K19" s="13" t="s">
        <v>60</v>
      </c>
      <c r="L19" s="13">
        <v>36.6417</v>
      </c>
      <c r="M19" s="7">
        <v>1.7568999999999999</v>
      </c>
      <c r="N19" s="7">
        <v>0.93799999999999994</v>
      </c>
      <c r="O19" s="13">
        <f>M19+N19</f>
        <v>2.6948999999999996</v>
      </c>
      <c r="P19" s="13">
        <v>12.5382</v>
      </c>
      <c r="Q19" s="13">
        <v>12.494300000000001</v>
      </c>
      <c r="R19" s="6">
        <v>0.44269999999999998</v>
      </c>
      <c r="S19" s="7">
        <v>11.8475</v>
      </c>
      <c r="T19" s="13">
        <v>8.9131999999999998</v>
      </c>
      <c r="U19" s="4"/>
      <c r="V19" s="1">
        <v>1162</v>
      </c>
      <c r="W19" s="1">
        <v>545</v>
      </c>
      <c r="X19" s="1">
        <v>1028</v>
      </c>
      <c r="Y19" s="1">
        <v>785</v>
      </c>
      <c r="Z19" s="1">
        <v>257</v>
      </c>
      <c r="AA19" s="1">
        <v>196.25</v>
      </c>
      <c r="AB19" s="12">
        <v>4</v>
      </c>
      <c r="AC19" s="14">
        <v>5</v>
      </c>
      <c r="AD19" s="1"/>
      <c r="AE19" s="4"/>
      <c r="AF19" s="19" t="s">
        <v>124</v>
      </c>
      <c r="AG19" s="19" t="s">
        <v>137</v>
      </c>
    </row>
    <row r="20" spans="1:33" s="19" customFormat="1" ht="20" customHeight="1" x14ac:dyDescent="0.2">
      <c r="A20" s="19">
        <v>19</v>
      </c>
      <c r="B20" s="19" t="s">
        <v>45</v>
      </c>
      <c r="C20" s="19" t="s">
        <v>46</v>
      </c>
      <c r="D20" s="19" t="s">
        <v>97</v>
      </c>
      <c r="E20" s="19" t="s">
        <v>116</v>
      </c>
      <c r="F20" s="19">
        <v>5</v>
      </c>
      <c r="G20" s="19">
        <v>3</v>
      </c>
      <c r="H20" s="19">
        <v>0</v>
      </c>
      <c r="I20" s="19" t="s">
        <v>25</v>
      </c>
      <c r="J20" s="4"/>
      <c r="K20" s="20" t="s">
        <v>60</v>
      </c>
      <c r="L20" s="21">
        <v>32.470399999999998</v>
      </c>
      <c r="M20" s="20">
        <v>1.3375999999999999</v>
      </c>
      <c r="N20" s="20">
        <v>0.80779999999999996</v>
      </c>
      <c r="O20" s="20">
        <f>M20+N20</f>
        <v>2.1454</v>
      </c>
      <c r="P20" s="20">
        <v>14.038600000000001</v>
      </c>
      <c r="Q20" s="20">
        <v>9.73</v>
      </c>
      <c r="R20" s="21">
        <v>0.45040000000000002</v>
      </c>
      <c r="S20" s="20">
        <v>8.5277999999999992</v>
      </c>
      <c r="T20" s="20">
        <v>6.5545999999999998</v>
      </c>
      <c r="U20" s="4"/>
      <c r="V20" s="20">
        <v>1746</v>
      </c>
      <c r="W20" s="20">
        <v>562</v>
      </c>
      <c r="X20" s="20">
        <v>1113</v>
      </c>
      <c r="Y20" s="20">
        <v>856</v>
      </c>
      <c r="Z20" s="20">
        <v>278.25</v>
      </c>
      <c r="AA20" s="20">
        <v>214</v>
      </c>
      <c r="AB20" s="19">
        <v>4</v>
      </c>
      <c r="AC20" s="22">
        <v>8</v>
      </c>
      <c r="AD20" s="19" t="s">
        <v>78</v>
      </c>
      <c r="AE20" s="4"/>
      <c r="AF20" s="19" t="s">
        <v>129</v>
      </c>
      <c r="AG20" s="19" t="s">
        <v>141</v>
      </c>
    </row>
    <row r="21" spans="1:33" ht="20" customHeight="1" x14ac:dyDescent="0.2">
      <c r="A21" s="15">
        <v>17</v>
      </c>
      <c r="B21" s="15" t="s">
        <v>42</v>
      </c>
      <c r="C21" s="15" t="s">
        <v>44</v>
      </c>
      <c r="D21" s="15" t="s">
        <v>95</v>
      </c>
      <c r="E21" s="15" t="s">
        <v>114</v>
      </c>
      <c r="F21" s="15">
        <v>5</v>
      </c>
      <c r="G21" s="15">
        <v>3</v>
      </c>
      <c r="H21" s="15">
        <v>0</v>
      </c>
      <c r="I21" s="15" t="s">
        <v>25</v>
      </c>
      <c r="K21" s="16" t="s">
        <v>62</v>
      </c>
      <c r="L21" s="26">
        <v>49.535699999999999</v>
      </c>
      <c r="M21" s="7">
        <v>2.0184000000000002</v>
      </c>
      <c r="N21" s="7">
        <v>0.96530000000000005</v>
      </c>
      <c r="O21" s="16">
        <f>M21+N21</f>
        <v>2.9837000000000002</v>
      </c>
      <c r="P21" s="16">
        <v>25.7651</v>
      </c>
      <c r="Q21" s="16">
        <v>9.3183000000000007</v>
      </c>
      <c r="R21" s="6">
        <v>0.46350000000000002</v>
      </c>
      <c r="S21" s="7">
        <v>8.0381</v>
      </c>
      <c r="T21" s="16">
        <v>11.467499999999999</v>
      </c>
      <c r="V21" s="7">
        <v>5553</v>
      </c>
      <c r="W21" s="7">
        <v>1599</v>
      </c>
      <c r="X21" s="7">
        <v>1431</v>
      </c>
      <c r="Y21" s="7">
        <v>1103</v>
      </c>
      <c r="Z21" s="7">
        <v>286.2</v>
      </c>
      <c r="AA21" s="7">
        <v>220.6</v>
      </c>
      <c r="AB21" s="15">
        <v>8</v>
      </c>
      <c r="AC21" s="17">
        <v>30</v>
      </c>
      <c r="AD21" s="1" t="s">
        <v>78</v>
      </c>
      <c r="AF21" s="1" t="s">
        <v>125</v>
      </c>
      <c r="AG21" s="1" t="s">
        <v>139</v>
      </c>
    </row>
    <row r="22" spans="1:33" ht="20" customHeight="1" x14ac:dyDescent="0.2">
      <c r="A22" s="15">
        <v>25</v>
      </c>
      <c r="B22" s="15" t="s">
        <v>42</v>
      </c>
      <c r="C22" s="15" t="s">
        <v>43</v>
      </c>
      <c r="D22" s="15" t="s">
        <v>96</v>
      </c>
      <c r="E22" s="15" t="s">
        <v>120</v>
      </c>
      <c r="F22" s="15">
        <v>5</v>
      </c>
      <c r="G22" s="15">
        <v>3</v>
      </c>
      <c r="H22" s="15">
        <v>0</v>
      </c>
      <c r="I22" s="15" t="s">
        <v>47</v>
      </c>
      <c r="K22" s="16" t="s">
        <v>62</v>
      </c>
      <c r="L22" s="26">
        <v>50.580199999999998</v>
      </c>
      <c r="M22" s="7">
        <v>1.5225</v>
      </c>
      <c r="N22" s="7">
        <v>0.94840000000000002</v>
      </c>
      <c r="O22" s="16">
        <f>M22+N22</f>
        <v>2.4708999999999999</v>
      </c>
      <c r="P22" s="16">
        <v>25.273800000000001</v>
      </c>
      <c r="Q22" s="16">
        <v>12.363</v>
      </c>
      <c r="R22" s="6">
        <v>0.4556</v>
      </c>
      <c r="S22" s="7">
        <v>11.8233</v>
      </c>
      <c r="T22" s="16">
        <v>10.471399999999999</v>
      </c>
      <c r="V22" s="7">
        <v>5893</v>
      </c>
      <c r="W22" s="7">
        <v>1568</v>
      </c>
      <c r="X22" s="7">
        <v>1423</v>
      </c>
      <c r="Y22" s="7">
        <v>1159</v>
      </c>
      <c r="Z22" s="7">
        <v>284.60000000000002</v>
      </c>
      <c r="AA22" s="7">
        <v>231.8</v>
      </c>
      <c r="AB22" s="15">
        <v>8</v>
      </c>
      <c r="AC22" s="17">
        <v>32</v>
      </c>
      <c r="AD22" s="1" t="s">
        <v>78</v>
      </c>
      <c r="AF22" s="1" t="s">
        <v>125</v>
      </c>
      <c r="AG22" s="1" t="s">
        <v>142</v>
      </c>
    </row>
    <row r="23" spans="1:33" ht="20" customHeight="1" x14ac:dyDescent="0.2">
      <c r="A23" s="15">
        <v>26</v>
      </c>
      <c r="B23" s="15" t="s">
        <v>42</v>
      </c>
      <c r="C23" s="15" t="s">
        <v>43</v>
      </c>
      <c r="D23" s="15" t="s">
        <v>96</v>
      </c>
      <c r="E23" s="15" t="s">
        <v>121</v>
      </c>
      <c r="F23" s="15">
        <v>5</v>
      </c>
      <c r="G23" s="15">
        <v>3</v>
      </c>
      <c r="H23" s="15">
        <v>0</v>
      </c>
      <c r="I23" s="15" t="s">
        <v>25</v>
      </c>
      <c r="K23" s="16" t="s">
        <v>62</v>
      </c>
      <c r="L23" s="26">
        <v>50.623600000000003</v>
      </c>
      <c r="M23" s="7">
        <v>1.7739</v>
      </c>
      <c r="N23" s="7">
        <v>1.0491999999999999</v>
      </c>
      <c r="O23" s="16">
        <f>M23+N23</f>
        <v>2.8231000000000002</v>
      </c>
      <c r="P23" s="16">
        <v>30.735800000000001</v>
      </c>
      <c r="Q23" s="16">
        <v>10.813599999999999</v>
      </c>
      <c r="R23" s="6">
        <v>0.45979999999999999</v>
      </c>
      <c r="S23" s="7">
        <v>10.1661</v>
      </c>
      <c r="T23" s="16">
        <v>6.2497999999999996</v>
      </c>
      <c r="V23" s="7">
        <v>5893</v>
      </c>
      <c r="W23" s="7">
        <v>1284</v>
      </c>
      <c r="X23" s="7">
        <v>1390</v>
      </c>
      <c r="Y23" s="7">
        <v>1091</v>
      </c>
      <c r="Z23" s="7">
        <v>278</v>
      </c>
      <c r="AA23" s="7">
        <v>218.2</v>
      </c>
      <c r="AB23" s="15">
        <v>5</v>
      </c>
      <c r="AC23" s="17">
        <v>32</v>
      </c>
      <c r="AD23" s="1" t="s">
        <v>78</v>
      </c>
      <c r="AF23" s="1" t="s">
        <v>125</v>
      </c>
      <c r="AG23" s="1" t="s">
        <v>142</v>
      </c>
    </row>
    <row r="25" spans="1:33" ht="20" customHeight="1" x14ac:dyDescent="0.2">
      <c r="A25" s="1" t="s">
        <v>50</v>
      </c>
      <c r="L25" s="1">
        <f>AVERAGE(L3:L23)</f>
        <v>34.65014285714286</v>
      </c>
      <c r="M25" s="1">
        <f t="shared" ref="M25:T25" si="0">AVERAGE(M3:M23)</f>
        <v>1.6348190476190474</v>
      </c>
      <c r="N25" s="1">
        <f t="shared" si="0"/>
        <v>0.98398095238095218</v>
      </c>
      <c r="P25" s="1">
        <f t="shared" si="0"/>
        <v>14.638257142857142</v>
      </c>
      <c r="Q25" s="1">
        <f t="shared" si="0"/>
        <v>9.8933238095238085</v>
      </c>
      <c r="R25" s="1">
        <f t="shared" si="0"/>
        <v>0.43128571428571438</v>
      </c>
      <c r="S25" s="1">
        <f t="shared" si="0"/>
        <v>8.9122619047619036</v>
      </c>
      <c r="T25" s="1">
        <f t="shared" si="0"/>
        <v>7.4985476190476179</v>
      </c>
    </row>
    <row r="26" spans="1:33" ht="20" customHeight="1" x14ac:dyDescent="0.2">
      <c r="A26" s="1" t="s">
        <v>54</v>
      </c>
      <c r="L26" s="1">
        <f>MIN(L3:L23)</f>
        <v>22.1127</v>
      </c>
      <c r="M26" s="1">
        <f t="shared" ref="M26:T26" si="1">MIN(M3:M23)</f>
        <v>1.3375999999999999</v>
      </c>
      <c r="N26" s="1">
        <f t="shared" si="1"/>
        <v>0.80779999999999996</v>
      </c>
      <c r="P26" s="1">
        <f t="shared" si="1"/>
        <v>6.1425000000000001</v>
      </c>
      <c r="Q26" s="1">
        <f t="shared" si="1"/>
        <v>4.9195000000000002</v>
      </c>
      <c r="R26" s="1">
        <f t="shared" si="1"/>
        <v>0.39529999999999998</v>
      </c>
      <c r="S26" s="1">
        <f t="shared" si="1"/>
        <v>4.3106999999999998</v>
      </c>
      <c r="T26" s="1">
        <f t="shared" si="1"/>
        <v>4.5091000000000001</v>
      </c>
    </row>
    <row r="27" spans="1:33" ht="20" customHeight="1" x14ac:dyDescent="0.2">
      <c r="A27" s="1" t="s">
        <v>55</v>
      </c>
      <c r="L27" s="1">
        <f>MAX(L3:L23)</f>
        <v>50.623600000000003</v>
      </c>
      <c r="M27" s="1">
        <f t="shared" ref="M27:T27" si="2">MAX(M3:M23)</f>
        <v>2.0184000000000002</v>
      </c>
      <c r="N27" s="1">
        <f t="shared" si="2"/>
        <v>1.3385</v>
      </c>
      <c r="P27" s="1">
        <f t="shared" si="2"/>
        <v>30.735800000000001</v>
      </c>
      <c r="Q27" s="1">
        <f t="shared" si="2"/>
        <v>14.437900000000001</v>
      </c>
      <c r="R27" s="1">
        <f t="shared" si="2"/>
        <v>0.46350000000000002</v>
      </c>
      <c r="S27" s="1">
        <f t="shared" si="2"/>
        <v>13.812200000000001</v>
      </c>
      <c r="T27" s="1">
        <f t="shared" si="2"/>
        <v>11.467499999999999</v>
      </c>
    </row>
    <row r="29" spans="1:33" ht="20" customHeight="1" x14ac:dyDescent="0.2">
      <c r="A29" s="1">
        <v>13</v>
      </c>
      <c r="B29" s="1" t="s">
        <v>36</v>
      </c>
      <c r="C29" s="1" t="s">
        <v>38</v>
      </c>
      <c r="D29" s="1" t="s">
        <v>92</v>
      </c>
      <c r="E29" s="1" t="s">
        <v>111</v>
      </c>
      <c r="F29" s="1">
        <v>5</v>
      </c>
      <c r="G29" s="1">
        <v>3</v>
      </c>
      <c r="H29" s="1">
        <v>0</v>
      </c>
      <c r="I29" s="1" t="s">
        <v>25</v>
      </c>
      <c r="L29" s="1">
        <v>2.5552000000000001</v>
      </c>
      <c r="M29" s="1">
        <v>1.5078</v>
      </c>
      <c r="N29" s="1">
        <v>1.0468999999999999</v>
      </c>
      <c r="O29" s="23">
        <f>M29+N29</f>
        <v>2.5547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AB29" s="1">
        <v>0</v>
      </c>
      <c r="AC29" s="1">
        <v>0</v>
      </c>
      <c r="AD29" s="1" t="s">
        <v>78</v>
      </c>
    </row>
    <row r="30" spans="1:33" ht="20" customHeight="1" x14ac:dyDescent="0.2">
      <c r="AB30"/>
      <c r="AC30" s="1"/>
    </row>
    <row r="31" spans="1:33" ht="20" customHeight="1" x14ac:dyDescent="0.2">
      <c r="AB31"/>
      <c r="AC31" s="1"/>
    </row>
    <row r="32" spans="1:33" ht="20" customHeight="1" x14ac:dyDescent="0.2">
      <c r="G32" s="1" t="s">
        <v>64</v>
      </c>
    </row>
    <row r="33" spans="3:8" ht="20" customHeight="1" x14ac:dyDescent="0.2">
      <c r="C33" s="1" t="s">
        <v>63</v>
      </c>
      <c r="G33" s="1" t="s">
        <v>65</v>
      </c>
    </row>
    <row r="34" spans="3:8" ht="20" customHeight="1" x14ac:dyDescent="0.2">
      <c r="C34" s="1" t="s">
        <v>66</v>
      </c>
      <c r="G34" s="1" t="s">
        <v>67</v>
      </c>
    </row>
    <row r="36" spans="3:8" ht="20" customHeight="1" x14ac:dyDescent="0.2">
      <c r="C36" s="1" t="s">
        <v>68</v>
      </c>
    </row>
    <row r="37" spans="3:8" ht="20" customHeight="1" x14ac:dyDescent="0.2">
      <c r="C37" s="1" t="s">
        <v>69</v>
      </c>
    </row>
    <row r="38" spans="3:8" ht="20" customHeight="1" x14ac:dyDescent="0.2">
      <c r="C38" s="1" t="s">
        <v>70</v>
      </c>
    </row>
    <row r="41" spans="3:8" ht="20" customHeight="1" x14ac:dyDescent="0.2">
      <c r="C41" s="1" t="s">
        <v>58</v>
      </c>
      <c r="G41" s="1" t="s">
        <v>71</v>
      </c>
    </row>
    <row r="42" spans="3:8" ht="20" customHeight="1" x14ac:dyDescent="0.2">
      <c r="C42" s="1" t="s">
        <v>72</v>
      </c>
      <c r="G42" s="1" t="s">
        <v>73</v>
      </c>
      <c r="H42" s="1" t="s">
        <v>79</v>
      </c>
    </row>
    <row r="43" spans="3:8" ht="20" customHeight="1" x14ac:dyDescent="0.2">
      <c r="C43" s="1" t="s">
        <v>72</v>
      </c>
      <c r="G43" s="18" t="s">
        <v>76</v>
      </c>
      <c r="H43" s="1" t="s">
        <v>80</v>
      </c>
    </row>
    <row r="44" spans="3:8" ht="20" customHeight="1" x14ac:dyDescent="0.2">
      <c r="C44" s="1" t="s">
        <v>72</v>
      </c>
      <c r="G44" s="1" t="s">
        <v>77</v>
      </c>
      <c r="H44" s="1" t="s">
        <v>70</v>
      </c>
    </row>
    <row r="45" spans="3:8" ht="20" customHeight="1" x14ac:dyDescent="0.2">
      <c r="C45" s="1" t="s">
        <v>64</v>
      </c>
      <c r="G45" s="1" t="s">
        <v>75</v>
      </c>
    </row>
    <row r="46" spans="3:8" ht="20" customHeight="1" x14ac:dyDescent="0.2">
      <c r="C46" s="1" t="s">
        <v>74</v>
      </c>
      <c r="G46" s="1" t="s">
        <v>73</v>
      </c>
    </row>
  </sheetData>
  <autoFilter ref="A2:AJ23" xr:uid="{882D1967-66C6-9543-B52A-D374E5C3D1B9}">
    <filterColumn colId="29">
      <customFilters>
        <customFilter operator="notEqual" val=" "/>
      </customFilters>
    </filterColumn>
  </autoFilter>
  <mergeCells count="3">
    <mergeCell ref="B1:I1"/>
    <mergeCell ref="L1:T1"/>
    <mergeCell ref="V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4E962-5F8A-5149-88AE-1342F81A14CE}">
  <sheetPr filterMode="1"/>
  <dimension ref="A1:AJ46"/>
  <sheetViews>
    <sheetView zoomScale="90" workbookViewId="0">
      <pane xSplit="7" ySplit="2" topLeftCell="J16" activePane="bottomRight" state="frozen"/>
      <selection pane="topRight" activeCell="H1" sqref="H1"/>
      <selection pane="bottomLeft" activeCell="A3" sqref="A3"/>
      <selection pane="bottomRight" activeCell="AH2" sqref="AH2:AI23"/>
    </sheetView>
  </sheetViews>
  <sheetFormatPr baseColWidth="10" defaultRowHeight="16" outlineLevelCol="2" x14ac:dyDescent="0.2"/>
  <cols>
    <col min="1" max="1" width="11.83203125" style="1" hidden="1" customWidth="1"/>
    <col min="2" max="2" width="14.83203125" style="1" hidden="1" customWidth="1" outlineLevel="1"/>
    <col min="3" max="3" width="33.5" style="1" hidden="1" customWidth="1" outlineLevel="1"/>
    <col min="4" max="4" width="33.5" style="1" customWidth="1" outlineLevel="1"/>
    <col min="5" max="5" width="45" style="1" customWidth="1" outlineLevel="1"/>
    <col min="6" max="6" width="11.6640625" style="1" hidden="1" customWidth="1" outlineLevel="2"/>
    <col min="7" max="7" width="24.1640625" style="1" hidden="1" customWidth="1" outlineLevel="2"/>
    <col min="8" max="8" width="17" style="1" hidden="1" customWidth="1" outlineLevel="1" collapsed="1"/>
    <col min="9" max="9" width="8.33203125" style="1" hidden="1" customWidth="1" outlineLevel="1"/>
    <col min="10" max="10" width="3.1640625" style="4" customWidth="1"/>
    <col min="11" max="11" width="20" style="1" hidden="1" customWidth="1" outlineLevel="1"/>
    <col min="12" max="12" width="22.1640625" style="1" hidden="1" customWidth="1" outlineLevel="1"/>
    <col min="13" max="13" width="21.6640625" style="1" hidden="1" customWidth="1" outlineLevel="2"/>
    <col min="14" max="14" width="22.1640625" style="1" hidden="1" customWidth="1" outlineLevel="2"/>
    <col min="15" max="15" width="16.6640625" style="1" hidden="1" customWidth="1" outlineLevel="1" collapsed="1"/>
    <col min="16" max="16" width="17" style="1" hidden="1" customWidth="1" outlineLevel="1"/>
    <col min="17" max="17" width="25" style="1" hidden="1" customWidth="1" outlineLevel="1"/>
    <col min="18" max="18" width="23.5" style="1" hidden="1" customWidth="1" outlineLevel="2"/>
    <col min="19" max="19" width="17.6640625" style="1" hidden="1" customWidth="1" outlineLevel="2"/>
    <col min="20" max="20" width="23.5" style="1" hidden="1" customWidth="1" outlineLevel="1" collapsed="1"/>
    <col min="21" max="21" width="3.33203125" style="4" customWidth="1" collapsed="1"/>
    <col min="22" max="22" width="22.33203125" style="1" hidden="1" customWidth="1" outlineLevel="1"/>
    <col min="23" max="23" width="23.5" style="1" hidden="1" customWidth="1" outlineLevel="1"/>
    <col min="24" max="24" width="21.6640625" style="1" hidden="1" customWidth="1" outlineLevel="1"/>
    <col min="25" max="25" width="22.83203125" style="1" hidden="1" customWidth="1" outlineLevel="1"/>
    <col min="26" max="26" width="20.33203125" style="1" hidden="1" customWidth="1" outlineLevel="1"/>
    <col min="27" max="27" width="21.6640625" style="1" hidden="1" customWidth="1" outlineLevel="1"/>
    <col min="28" max="28" width="13.1640625" style="1" customWidth="1" collapsed="1"/>
    <col min="29" max="29" width="13.1640625" customWidth="1"/>
    <col min="30" max="30" width="13.5" style="1" hidden="1" customWidth="1"/>
    <col min="31" max="31" width="3.33203125" style="4" hidden="1" customWidth="1" collapsed="1"/>
    <col min="32" max="32" width="17.6640625" style="1" hidden="1" customWidth="1"/>
    <col min="33" max="33" width="34.83203125" style="1" hidden="1" customWidth="1"/>
    <col min="34" max="34" width="76" style="1" customWidth="1"/>
    <col min="35" max="35" width="76.83203125" style="1" customWidth="1"/>
    <col min="36" max="16384" width="10.83203125" style="1"/>
  </cols>
  <sheetData>
    <row r="1" spans="1:36" x14ac:dyDescent="0.2">
      <c r="B1" s="2" t="s">
        <v>51</v>
      </c>
      <c r="C1" s="2"/>
      <c r="D1" s="2"/>
      <c r="E1" s="2"/>
      <c r="F1" s="2"/>
      <c r="G1" s="2"/>
      <c r="H1" s="2"/>
      <c r="I1" s="2"/>
      <c r="J1" s="3"/>
      <c r="K1" s="8"/>
      <c r="L1" s="2" t="s">
        <v>52</v>
      </c>
      <c r="M1" s="2"/>
      <c r="N1" s="2"/>
      <c r="O1" s="2"/>
      <c r="P1" s="2"/>
      <c r="Q1" s="2"/>
      <c r="R1" s="2"/>
      <c r="S1" s="2"/>
      <c r="T1" s="2"/>
      <c r="U1" s="3"/>
      <c r="V1" s="2" t="s">
        <v>53</v>
      </c>
      <c r="W1" s="2"/>
      <c r="X1" s="2"/>
      <c r="Y1" s="2"/>
      <c r="Z1" s="2"/>
      <c r="AA1" s="2"/>
      <c r="AE1" s="3"/>
    </row>
    <row r="2" spans="1:36" s="5" customFormat="1" x14ac:dyDescent="0.2">
      <c r="A2" s="5" t="s">
        <v>0</v>
      </c>
      <c r="B2" s="5" t="s">
        <v>1</v>
      </c>
      <c r="C2" s="5" t="s">
        <v>2</v>
      </c>
      <c r="D2" s="5" t="s">
        <v>98</v>
      </c>
      <c r="E2" s="5" t="s">
        <v>99</v>
      </c>
      <c r="F2" s="5" t="s">
        <v>3</v>
      </c>
      <c r="G2" s="5" t="s">
        <v>4</v>
      </c>
      <c r="H2" s="5" t="s">
        <v>5</v>
      </c>
      <c r="I2" s="5" t="s">
        <v>6</v>
      </c>
      <c r="K2" s="5" t="s">
        <v>59</v>
      </c>
      <c r="L2" s="5" t="s">
        <v>7</v>
      </c>
      <c r="M2" s="5" t="s">
        <v>8</v>
      </c>
      <c r="N2" s="5" t="s">
        <v>9</v>
      </c>
      <c r="O2" s="5" t="s">
        <v>58</v>
      </c>
      <c r="P2" s="5" t="s">
        <v>10</v>
      </c>
      <c r="Q2" s="5" t="s">
        <v>12</v>
      </c>
      <c r="R2" s="5" t="s">
        <v>13</v>
      </c>
      <c r="S2" s="5" t="s">
        <v>14</v>
      </c>
      <c r="T2" s="5" t="s">
        <v>15</v>
      </c>
      <c r="V2" s="5" t="s">
        <v>16</v>
      </c>
      <c r="W2" s="5" t="s">
        <v>17</v>
      </c>
      <c r="X2" s="5" t="s">
        <v>18</v>
      </c>
      <c r="Y2" s="5" t="s">
        <v>19</v>
      </c>
      <c r="Z2" s="5" t="s">
        <v>20</v>
      </c>
      <c r="AA2" s="5" t="s">
        <v>21</v>
      </c>
      <c r="AB2" s="5" t="s">
        <v>22</v>
      </c>
      <c r="AC2" s="5" t="s">
        <v>57</v>
      </c>
      <c r="AD2" s="5" t="s">
        <v>48</v>
      </c>
      <c r="AF2" s="5" t="s">
        <v>122</v>
      </c>
      <c r="AG2" s="5" t="s">
        <v>123</v>
      </c>
      <c r="AH2" s="5" t="s">
        <v>143</v>
      </c>
      <c r="AI2" s="5" t="s">
        <v>144</v>
      </c>
      <c r="AJ2" s="5" t="s">
        <v>145</v>
      </c>
    </row>
    <row r="3" spans="1:36" ht="68" x14ac:dyDescent="0.2">
      <c r="A3" s="9">
        <v>5</v>
      </c>
      <c r="B3" s="9" t="s">
        <v>23</v>
      </c>
      <c r="C3" s="9" t="s">
        <v>29</v>
      </c>
      <c r="D3" s="9" t="s">
        <v>85</v>
      </c>
      <c r="E3" s="9" t="s">
        <v>104</v>
      </c>
      <c r="F3" s="9">
        <v>5</v>
      </c>
      <c r="G3" s="9">
        <v>3</v>
      </c>
      <c r="H3" s="9">
        <v>0</v>
      </c>
      <c r="I3" s="9" t="s">
        <v>25</v>
      </c>
      <c r="K3" s="11" t="s">
        <v>61</v>
      </c>
      <c r="L3" s="25">
        <v>26.511099999999999</v>
      </c>
      <c r="M3" s="7">
        <v>1.6244000000000001</v>
      </c>
      <c r="N3" s="7">
        <v>0.9103</v>
      </c>
      <c r="O3" s="11">
        <f>M3+N3</f>
        <v>2.5347</v>
      </c>
      <c r="P3" s="11">
        <v>9.8414000000000001</v>
      </c>
      <c r="Q3" s="11">
        <v>9.6252999999999993</v>
      </c>
      <c r="R3" s="6">
        <v>0.45250000000000001</v>
      </c>
      <c r="S3" s="7">
        <v>8.077</v>
      </c>
      <c r="T3" s="11">
        <v>4.5091000000000001</v>
      </c>
      <c r="V3" s="1">
        <v>1135</v>
      </c>
      <c r="W3" s="1">
        <v>557</v>
      </c>
      <c r="X3" s="1">
        <v>1149</v>
      </c>
      <c r="Y3" s="1">
        <v>872</v>
      </c>
      <c r="Z3" s="1">
        <v>287.25</v>
      </c>
      <c r="AA3" s="1">
        <v>218</v>
      </c>
      <c r="AB3" s="9">
        <v>4</v>
      </c>
      <c r="AC3" s="10">
        <v>5</v>
      </c>
      <c r="AD3" s="1" t="s">
        <v>135</v>
      </c>
      <c r="AF3" s="1" t="s">
        <v>126</v>
      </c>
      <c r="AG3" s="1" t="s">
        <v>134</v>
      </c>
      <c r="AH3" s="27" t="s">
        <v>146</v>
      </c>
      <c r="AI3" s="27" t="s">
        <v>147</v>
      </c>
    </row>
    <row r="4" spans="1:36" hidden="1" x14ac:dyDescent="0.2">
      <c r="A4" s="19">
        <v>2</v>
      </c>
      <c r="B4" s="19" t="s">
        <v>23</v>
      </c>
      <c r="C4" s="19" t="s">
        <v>26</v>
      </c>
      <c r="D4" s="19" t="s">
        <v>81</v>
      </c>
      <c r="E4" s="19" t="s">
        <v>101</v>
      </c>
      <c r="F4" s="19">
        <v>5</v>
      </c>
      <c r="G4" s="19">
        <v>3</v>
      </c>
      <c r="H4" s="19">
        <v>0</v>
      </c>
      <c r="I4" s="19" t="s">
        <v>25</v>
      </c>
      <c r="K4" s="20" t="s">
        <v>61</v>
      </c>
      <c r="L4" s="20">
        <v>25.857900000000001</v>
      </c>
      <c r="M4" s="20">
        <v>1.6840999999999999</v>
      </c>
      <c r="N4" s="20">
        <v>1.0232000000000001</v>
      </c>
      <c r="O4" s="20">
        <f>M4+N4</f>
        <v>2.7073</v>
      </c>
      <c r="P4" s="20">
        <v>7.6795999999999998</v>
      </c>
      <c r="Q4" s="20">
        <v>8.7030999999999992</v>
      </c>
      <c r="R4" s="21">
        <v>0.39910000000000001</v>
      </c>
      <c r="S4" s="20">
        <v>8.1353000000000009</v>
      </c>
      <c r="T4" s="20">
        <v>6.7605000000000004</v>
      </c>
      <c r="V4" s="19">
        <v>487</v>
      </c>
      <c r="W4" s="19">
        <v>160</v>
      </c>
      <c r="X4" s="19">
        <v>300</v>
      </c>
      <c r="Y4" s="19">
        <v>207</v>
      </c>
      <c r="Z4" s="19">
        <v>300</v>
      </c>
      <c r="AA4" s="19">
        <v>207</v>
      </c>
      <c r="AB4" s="19">
        <v>1</v>
      </c>
      <c r="AC4" s="22">
        <v>1</v>
      </c>
      <c r="AF4" s="1" t="s">
        <v>128</v>
      </c>
      <c r="AG4" s="1" t="s">
        <v>131</v>
      </c>
    </row>
    <row r="5" spans="1:36" ht="51" x14ac:dyDescent="0.2">
      <c r="A5" s="9">
        <v>7</v>
      </c>
      <c r="B5" s="9" t="s">
        <v>23</v>
      </c>
      <c r="C5" s="9" t="s">
        <v>31</v>
      </c>
      <c r="D5" s="9" t="s">
        <v>87</v>
      </c>
      <c r="E5" s="9" t="s">
        <v>106</v>
      </c>
      <c r="F5" s="9">
        <v>5</v>
      </c>
      <c r="G5" s="9">
        <v>3</v>
      </c>
      <c r="H5" s="9">
        <v>0</v>
      </c>
      <c r="I5" s="9" t="s">
        <v>25</v>
      </c>
      <c r="K5" s="11" t="s">
        <v>61</v>
      </c>
      <c r="L5" s="25">
        <v>27.6388</v>
      </c>
      <c r="M5" s="7">
        <v>1.6237999999999999</v>
      </c>
      <c r="N5" s="7">
        <v>1.3385</v>
      </c>
      <c r="O5" s="11">
        <f>M5+N5</f>
        <v>2.9622999999999999</v>
      </c>
      <c r="P5" s="11">
        <v>11.053800000000001</v>
      </c>
      <c r="Q5" s="11">
        <v>7.8822999999999999</v>
      </c>
      <c r="R5" s="6">
        <v>0.41660000000000003</v>
      </c>
      <c r="S5" s="7">
        <v>7.3109000000000002</v>
      </c>
      <c r="T5" s="11">
        <v>5.7397999999999998</v>
      </c>
      <c r="V5" s="1">
        <v>1305</v>
      </c>
      <c r="W5" s="1">
        <v>442</v>
      </c>
      <c r="X5" s="1">
        <v>841</v>
      </c>
      <c r="Y5" s="1">
        <v>617</v>
      </c>
      <c r="Z5" s="1">
        <v>280.33333333333297</v>
      </c>
      <c r="AA5" s="1">
        <v>205.666666666666</v>
      </c>
      <c r="AB5" s="9">
        <v>3</v>
      </c>
      <c r="AC5" s="10">
        <v>6</v>
      </c>
      <c r="AD5" s="1" t="s">
        <v>78</v>
      </c>
      <c r="AF5" s="1" t="s">
        <v>127</v>
      </c>
      <c r="AG5" s="1" t="s">
        <v>137</v>
      </c>
      <c r="AH5" s="27" t="s">
        <v>148</v>
      </c>
      <c r="AI5" s="27" t="s">
        <v>149</v>
      </c>
    </row>
    <row r="6" spans="1:36" hidden="1" x14ac:dyDescent="0.2">
      <c r="A6" s="9">
        <v>4</v>
      </c>
      <c r="B6" s="9" t="s">
        <v>23</v>
      </c>
      <c r="C6" s="9" t="s">
        <v>28</v>
      </c>
      <c r="D6" s="9" t="s">
        <v>84</v>
      </c>
      <c r="E6" s="9" t="s">
        <v>103</v>
      </c>
      <c r="F6" s="9">
        <v>5</v>
      </c>
      <c r="G6" s="9">
        <v>3</v>
      </c>
      <c r="H6" s="9">
        <v>0</v>
      </c>
      <c r="I6" s="9" t="s">
        <v>25</v>
      </c>
      <c r="K6" s="11" t="s">
        <v>61</v>
      </c>
      <c r="L6" s="11">
        <v>29.0748</v>
      </c>
      <c r="M6" s="7">
        <v>1.5277000000000001</v>
      </c>
      <c r="N6" s="7">
        <v>0.92069999999999996</v>
      </c>
      <c r="O6" s="11">
        <f>M6+N6</f>
        <v>2.4483999999999999</v>
      </c>
      <c r="P6" s="11">
        <v>10.7882</v>
      </c>
      <c r="Q6" s="11">
        <v>8.2530999999999999</v>
      </c>
      <c r="R6" s="6">
        <v>0.41880000000000001</v>
      </c>
      <c r="S6" s="7">
        <v>7.6355000000000004</v>
      </c>
      <c r="T6" s="11">
        <v>7.5846999999999998</v>
      </c>
      <c r="V6" s="1">
        <v>855</v>
      </c>
      <c r="W6" s="1">
        <v>231</v>
      </c>
      <c r="X6" s="1">
        <v>289</v>
      </c>
      <c r="Y6" s="1">
        <v>217</v>
      </c>
      <c r="Z6" s="1">
        <v>289</v>
      </c>
      <c r="AA6" s="1">
        <v>217</v>
      </c>
      <c r="AB6" s="9">
        <v>1</v>
      </c>
      <c r="AC6" s="10">
        <v>3</v>
      </c>
      <c r="AF6" s="1" t="s">
        <v>125</v>
      </c>
      <c r="AG6" s="1" t="s">
        <v>133</v>
      </c>
    </row>
    <row r="7" spans="1:36" ht="68" x14ac:dyDescent="0.2">
      <c r="A7" s="19">
        <v>14</v>
      </c>
      <c r="B7" s="19" t="s">
        <v>39</v>
      </c>
      <c r="C7" s="19" t="s">
        <v>40</v>
      </c>
      <c r="D7" s="19" t="s">
        <v>93</v>
      </c>
      <c r="E7" s="19" t="s">
        <v>112</v>
      </c>
      <c r="F7" s="19">
        <v>5</v>
      </c>
      <c r="G7" s="19">
        <v>3</v>
      </c>
      <c r="H7" s="19">
        <v>0</v>
      </c>
      <c r="I7" s="19" t="s">
        <v>25</v>
      </c>
      <c r="K7" s="20" t="s">
        <v>61</v>
      </c>
      <c r="L7" s="21">
        <v>27.408100000000001</v>
      </c>
      <c r="M7" s="20">
        <v>1.3975</v>
      </c>
      <c r="N7" s="20">
        <v>0.84730000000000005</v>
      </c>
      <c r="O7" s="20">
        <f>M7+N7</f>
        <v>2.2448000000000001</v>
      </c>
      <c r="P7" s="20">
        <v>7.4112</v>
      </c>
      <c r="Q7" s="20">
        <v>10.1774</v>
      </c>
      <c r="R7" s="21">
        <v>0.41830000000000001</v>
      </c>
      <c r="S7" s="20">
        <v>8.4649000000000001</v>
      </c>
      <c r="T7" s="20">
        <v>7.5739999999999998</v>
      </c>
      <c r="V7" s="19">
        <v>788</v>
      </c>
      <c r="W7" s="19">
        <v>268</v>
      </c>
      <c r="X7" s="19">
        <v>572</v>
      </c>
      <c r="Y7" s="19">
        <v>460</v>
      </c>
      <c r="Z7" s="19">
        <v>286</v>
      </c>
      <c r="AA7" s="19">
        <v>230</v>
      </c>
      <c r="AB7" s="19">
        <v>2</v>
      </c>
      <c r="AC7" s="22">
        <v>3</v>
      </c>
      <c r="AD7" s="1" t="s">
        <v>135</v>
      </c>
      <c r="AF7" s="1" t="s">
        <v>128</v>
      </c>
      <c r="AG7" s="1" t="s">
        <v>137</v>
      </c>
      <c r="AH7" s="27" t="s">
        <v>150</v>
      </c>
      <c r="AI7" s="27" t="s">
        <v>151</v>
      </c>
    </row>
    <row r="8" spans="1:36" ht="34" x14ac:dyDescent="0.2">
      <c r="A8" s="9">
        <v>15</v>
      </c>
      <c r="B8" s="9" t="s">
        <v>39</v>
      </c>
      <c r="C8" s="9" t="s">
        <v>41</v>
      </c>
      <c r="D8" s="9" t="s">
        <v>94</v>
      </c>
      <c r="E8" s="9" t="s">
        <v>113</v>
      </c>
      <c r="F8" s="9">
        <v>5</v>
      </c>
      <c r="G8" s="9">
        <v>3</v>
      </c>
      <c r="H8" s="9">
        <v>0</v>
      </c>
      <c r="I8" s="9" t="s">
        <v>25</v>
      </c>
      <c r="K8" s="11" t="s">
        <v>61</v>
      </c>
      <c r="L8" s="25">
        <v>22.1127</v>
      </c>
      <c r="M8" s="7">
        <v>1.7395</v>
      </c>
      <c r="N8" s="7">
        <v>1.02</v>
      </c>
      <c r="O8" s="11">
        <f>M8+N8</f>
        <v>2.7595000000000001</v>
      </c>
      <c r="P8" s="11">
        <v>9.6204000000000001</v>
      </c>
      <c r="Q8" s="11">
        <v>4.9195000000000002</v>
      </c>
      <c r="R8" s="6">
        <v>0.40550000000000003</v>
      </c>
      <c r="S8" s="7">
        <v>4.3106999999999998</v>
      </c>
      <c r="T8" s="11">
        <v>4.8125999999999998</v>
      </c>
      <c r="V8" s="1">
        <v>794</v>
      </c>
      <c r="W8" s="1">
        <v>202</v>
      </c>
      <c r="X8" s="1">
        <v>294</v>
      </c>
      <c r="Y8" s="1">
        <v>228</v>
      </c>
      <c r="Z8" s="1">
        <v>294</v>
      </c>
      <c r="AA8" s="1">
        <v>228</v>
      </c>
      <c r="AB8" s="9">
        <v>1</v>
      </c>
      <c r="AC8" s="10">
        <v>3</v>
      </c>
      <c r="AD8" s="1" t="s">
        <v>78</v>
      </c>
      <c r="AF8" s="1" t="s">
        <v>128</v>
      </c>
      <c r="AG8" s="1" t="s">
        <v>137</v>
      </c>
      <c r="AH8" s="1" t="s">
        <v>152</v>
      </c>
      <c r="AI8" s="27" t="s">
        <v>153</v>
      </c>
    </row>
    <row r="9" spans="1:36" ht="51" x14ac:dyDescent="0.2">
      <c r="A9" s="19">
        <v>22</v>
      </c>
      <c r="B9" s="19" t="s">
        <v>23</v>
      </c>
      <c r="C9" s="19" t="s">
        <v>26</v>
      </c>
      <c r="D9" s="19" t="s">
        <v>81</v>
      </c>
      <c r="E9" s="19" t="s">
        <v>118</v>
      </c>
      <c r="F9" s="19">
        <v>5</v>
      </c>
      <c r="G9" s="19">
        <v>3</v>
      </c>
      <c r="H9" s="19">
        <v>0.17</v>
      </c>
      <c r="I9" s="19" t="s">
        <v>47</v>
      </c>
      <c r="K9" s="20" t="s">
        <v>61</v>
      </c>
      <c r="L9" s="21">
        <v>24.503900000000002</v>
      </c>
      <c r="M9" s="20">
        <v>1.5172000000000001</v>
      </c>
      <c r="N9" s="20">
        <v>1.0229999999999999</v>
      </c>
      <c r="O9" s="20">
        <f>M9+N9</f>
        <v>2.5402</v>
      </c>
      <c r="P9" s="20">
        <v>6.4363999999999999</v>
      </c>
      <c r="Q9" s="20">
        <v>6.0552999999999999</v>
      </c>
      <c r="R9" s="21">
        <v>0.39529999999999998</v>
      </c>
      <c r="S9" s="20">
        <v>5.4214000000000002</v>
      </c>
      <c r="T9" s="20">
        <v>9.4710000000000001</v>
      </c>
      <c r="V9" s="19">
        <v>487</v>
      </c>
      <c r="W9" s="19">
        <v>148</v>
      </c>
      <c r="X9" s="19">
        <v>300</v>
      </c>
      <c r="Y9" s="19">
        <v>220</v>
      </c>
      <c r="Z9" s="19">
        <v>300</v>
      </c>
      <c r="AA9" s="19">
        <v>220</v>
      </c>
      <c r="AB9" s="19">
        <v>1</v>
      </c>
      <c r="AC9" s="22">
        <v>1</v>
      </c>
      <c r="AD9" s="19" t="s">
        <v>78</v>
      </c>
      <c r="AF9" s="19" t="s">
        <v>128</v>
      </c>
      <c r="AG9" s="19" t="s">
        <v>137</v>
      </c>
      <c r="AH9" s="1" t="s">
        <v>154</v>
      </c>
      <c r="AI9" s="27" t="s">
        <v>155</v>
      </c>
    </row>
    <row r="10" spans="1:36" hidden="1" x14ac:dyDescent="0.2">
      <c r="A10" s="19">
        <v>8</v>
      </c>
      <c r="B10" s="19" t="s">
        <v>23</v>
      </c>
      <c r="C10" s="19" t="s">
        <v>32</v>
      </c>
      <c r="D10" s="19" t="s">
        <v>88</v>
      </c>
      <c r="E10" s="19" t="s">
        <v>107</v>
      </c>
      <c r="F10" s="19">
        <v>5</v>
      </c>
      <c r="G10" s="19">
        <v>3</v>
      </c>
      <c r="H10" s="19">
        <v>0</v>
      </c>
      <c r="I10" s="19" t="s">
        <v>25</v>
      </c>
      <c r="K10" s="20" t="s">
        <v>62</v>
      </c>
      <c r="L10" s="20">
        <v>43.564700000000002</v>
      </c>
      <c r="M10" s="20">
        <v>1.6375999999999999</v>
      </c>
      <c r="N10" s="20">
        <v>1.0741000000000001</v>
      </c>
      <c r="O10" s="20">
        <f>M10+N10</f>
        <v>2.7117</v>
      </c>
      <c r="P10" s="20">
        <v>21.645</v>
      </c>
      <c r="Q10" s="20">
        <v>12.289199999999999</v>
      </c>
      <c r="R10" s="21">
        <v>0.44419999999999998</v>
      </c>
      <c r="S10" s="20">
        <v>10.7524</v>
      </c>
      <c r="T10" s="20">
        <v>6.9180000000000001</v>
      </c>
      <c r="V10" s="19">
        <v>1234</v>
      </c>
      <c r="W10" s="19">
        <v>578</v>
      </c>
      <c r="X10" s="19">
        <v>1425</v>
      </c>
      <c r="Y10" s="19">
        <v>1111</v>
      </c>
      <c r="Z10" s="19">
        <v>285</v>
      </c>
      <c r="AA10" s="19">
        <v>222.2</v>
      </c>
      <c r="AB10" s="19">
        <v>5</v>
      </c>
      <c r="AC10" s="22">
        <v>5</v>
      </c>
      <c r="AD10" s="19"/>
      <c r="AF10" s="1" t="s">
        <v>128</v>
      </c>
      <c r="AG10" s="1" t="s">
        <v>136</v>
      </c>
    </row>
    <row r="11" spans="1:36" hidden="1" x14ac:dyDescent="0.2">
      <c r="A11" s="19">
        <v>9</v>
      </c>
      <c r="B11" s="19" t="s">
        <v>23</v>
      </c>
      <c r="C11" s="19" t="s">
        <v>33</v>
      </c>
      <c r="D11" s="19" t="s">
        <v>89</v>
      </c>
      <c r="E11" s="19" t="s">
        <v>108</v>
      </c>
      <c r="F11" s="19">
        <v>5</v>
      </c>
      <c r="G11" s="19">
        <v>3</v>
      </c>
      <c r="H11" s="19">
        <v>0</v>
      </c>
      <c r="I11" s="19" t="s">
        <v>25</v>
      </c>
      <c r="K11" s="20" t="s">
        <v>62</v>
      </c>
      <c r="L11" s="20">
        <v>42.935400000000001</v>
      </c>
      <c r="M11" s="20">
        <v>1.7733000000000001</v>
      </c>
      <c r="N11" s="20">
        <v>1.0573999999999999</v>
      </c>
      <c r="O11" s="20">
        <f>M11+N11</f>
        <v>2.8307000000000002</v>
      </c>
      <c r="P11" s="20">
        <v>21.552600000000002</v>
      </c>
      <c r="Q11" s="20">
        <v>9.7521000000000004</v>
      </c>
      <c r="R11" s="21">
        <v>0.45590000000000003</v>
      </c>
      <c r="S11" s="20">
        <v>8.1346000000000007</v>
      </c>
      <c r="T11" s="20">
        <v>8.7988999999999997</v>
      </c>
      <c r="V11" s="19">
        <v>1803</v>
      </c>
      <c r="W11" s="19">
        <v>920</v>
      </c>
      <c r="X11" s="19">
        <v>1458</v>
      </c>
      <c r="Y11" s="19">
        <v>1174</v>
      </c>
      <c r="Z11" s="19">
        <v>291.60000000000002</v>
      </c>
      <c r="AA11" s="19">
        <v>234.8</v>
      </c>
      <c r="AB11" s="19">
        <v>8</v>
      </c>
      <c r="AC11" s="22">
        <v>8</v>
      </c>
      <c r="AD11" s="19"/>
      <c r="AF11" s="1" t="s">
        <v>128</v>
      </c>
      <c r="AG11" s="1" t="s">
        <v>137</v>
      </c>
    </row>
    <row r="12" spans="1:36" hidden="1" x14ac:dyDescent="0.2">
      <c r="A12" s="9">
        <v>10</v>
      </c>
      <c r="B12" s="9" t="s">
        <v>23</v>
      </c>
      <c r="C12" s="9" t="s">
        <v>34</v>
      </c>
      <c r="D12" s="9" t="s">
        <v>90</v>
      </c>
      <c r="E12" s="9" t="s">
        <v>109</v>
      </c>
      <c r="F12" s="9">
        <v>5</v>
      </c>
      <c r="G12" s="9">
        <v>3</v>
      </c>
      <c r="H12" s="9">
        <v>0</v>
      </c>
      <c r="I12" s="9" t="s">
        <v>25</v>
      </c>
      <c r="K12" s="11" t="s">
        <v>61</v>
      </c>
      <c r="L12" s="11">
        <v>29.283000000000001</v>
      </c>
      <c r="M12" s="7">
        <v>1.7356</v>
      </c>
      <c r="N12" s="7">
        <v>0.83220000000000005</v>
      </c>
      <c r="O12" s="11">
        <f>M12+N12</f>
        <v>2.5678000000000001</v>
      </c>
      <c r="P12" s="11">
        <v>11.662000000000001</v>
      </c>
      <c r="Q12" s="11">
        <v>9.4343000000000004</v>
      </c>
      <c r="R12" s="6">
        <v>0.4345</v>
      </c>
      <c r="S12" s="7">
        <v>8.0478000000000005</v>
      </c>
      <c r="T12" s="11">
        <v>5.6180000000000003</v>
      </c>
      <c r="V12" s="1">
        <v>1667</v>
      </c>
      <c r="W12" s="1">
        <v>676</v>
      </c>
      <c r="X12" s="1">
        <v>1312</v>
      </c>
      <c r="Y12" s="1">
        <v>985</v>
      </c>
      <c r="Z12" s="1">
        <v>262.39999999999998</v>
      </c>
      <c r="AA12" s="1">
        <v>197</v>
      </c>
      <c r="AB12" s="9">
        <v>5</v>
      </c>
      <c r="AC12" s="10">
        <v>8</v>
      </c>
      <c r="AF12" s="1" t="s">
        <v>124</v>
      </c>
      <c r="AG12" s="1" t="s">
        <v>138</v>
      </c>
    </row>
    <row r="13" spans="1:36" ht="34" x14ac:dyDescent="0.2">
      <c r="A13" s="9">
        <v>23</v>
      </c>
      <c r="B13" s="9" t="s">
        <v>23</v>
      </c>
      <c r="C13" s="9" t="s">
        <v>26</v>
      </c>
      <c r="D13" s="9" t="s">
        <v>81</v>
      </c>
      <c r="E13" s="9" t="s">
        <v>119</v>
      </c>
      <c r="F13" s="9">
        <v>5</v>
      </c>
      <c r="G13" s="9">
        <v>3</v>
      </c>
      <c r="H13" s="9">
        <v>0.1</v>
      </c>
      <c r="I13" s="9" t="s">
        <v>47</v>
      </c>
      <c r="K13" s="11" t="s">
        <v>61</v>
      </c>
      <c r="L13" s="25">
        <v>29.840499999999999</v>
      </c>
      <c r="M13" s="7">
        <v>1.5773999999999999</v>
      </c>
      <c r="N13" s="7">
        <v>1.0221</v>
      </c>
      <c r="O13" s="11">
        <f>M13+N13</f>
        <v>2.5994999999999999</v>
      </c>
      <c r="P13" s="11">
        <v>6.1425000000000001</v>
      </c>
      <c r="Q13" s="11">
        <v>10.3329</v>
      </c>
      <c r="R13" s="6">
        <v>0.42030000000000001</v>
      </c>
      <c r="S13" s="7">
        <v>9.2669999999999995</v>
      </c>
      <c r="T13" s="11">
        <v>10.764699999999999</v>
      </c>
      <c r="V13" s="1">
        <v>487</v>
      </c>
      <c r="W13" s="1">
        <v>161</v>
      </c>
      <c r="X13" s="1">
        <v>296</v>
      </c>
      <c r="Y13" s="1">
        <v>232</v>
      </c>
      <c r="Z13" s="1">
        <v>296</v>
      </c>
      <c r="AA13" s="1">
        <v>232</v>
      </c>
      <c r="AB13" s="9">
        <v>1</v>
      </c>
      <c r="AC13" s="10">
        <v>1</v>
      </c>
      <c r="AD13" s="1" t="s">
        <v>78</v>
      </c>
      <c r="AF13" s="1" t="s">
        <v>128</v>
      </c>
      <c r="AG13" s="1" t="s">
        <v>137</v>
      </c>
      <c r="AH13" s="1" t="s">
        <v>156</v>
      </c>
      <c r="AI13" s="27" t="s">
        <v>157</v>
      </c>
    </row>
    <row r="14" spans="1:36" ht="85" x14ac:dyDescent="0.2">
      <c r="A14" s="12">
        <v>1</v>
      </c>
      <c r="B14" s="12" t="s">
        <v>23</v>
      </c>
      <c r="C14" s="12" t="s">
        <v>24</v>
      </c>
      <c r="D14" s="12" t="s">
        <v>82</v>
      </c>
      <c r="E14" s="12" t="s">
        <v>100</v>
      </c>
      <c r="F14" s="12">
        <v>5</v>
      </c>
      <c r="G14" s="12">
        <v>3</v>
      </c>
      <c r="H14" s="12">
        <v>0</v>
      </c>
      <c r="I14" s="12" t="s">
        <v>25</v>
      </c>
      <c r="K14" s="13" t="s">
        <v>60</v>
      </c>
      <c r="L14" s="24">
        <v>38.019799999999996</v>
      </c>
      <c r="M14" s="7">
        <v>1.79</v>
      </c>
      <c r="N14" s="7">
        <v>1.0267999999999999</v>
      </c>
      <c r="O14" s="13">
        <f>M14+N14</f>
        <v>2.8167999999999997</v>
      </c>
      <c r="P14" s="13">
        <v>14.771699999999999</v>
      </c>
      <c r="Q14" s="13">
        <v>14.437900000000001</v>
      </c>
      <c r="R14" s="6">
        <v>0.432</v>
      </c>
      <c r="S14" s="7">
        <v>13.812200000000001</v>
      </c>
      <c r="T14" s="13">
        <v>5.9924999999999997</v>
      </c>
      <c r="V14" s="1">
        <v>1162</v>
      </c>
      <c r="W14" s="1">
        <v>562</v>
      </c>
      <c r="X14" s="1">
        <v>1028</v>
      </c>
      <c r="Y14" s="1">
        <v>814</v>
      </c>
      <c r="Z14" s="1">
        <v>257</v>
      </c>
      <c r="AA14" s="1">
        <v>203.5</v>
      </c>
      <c r="AB14" s="12">
        <v>4</v>
      </c>
      <c r="AC14" s="14">
        <v>5</v>
      </c>
      <c r="AD14" s="1" t="s">
        <v>78</v>
      </c>
      <c r="AF14" s="1" t="s">
        <v>124</v>
      </c>
      <c r="AG14" s="1" t="s">
        <v>130</v>
      </c>
      <c r="AH14" s="27" t="s">
        <v>158</v>
      </c>
      <c r="AI14" s="27" t="s">
        <v>159</v>
      </c>
    </row>
    <row r="15" spans="1:36" ht="68" x14ac:dyDescent="0.2">
      <c r="A15" s="12">
        <v>3</v>
      </c>
      <c r="B15" s="12" t="s">
        <v>23</v>
      </c>
      <c r="C15" s="12" t="s">
        <v>27</v>
      </c>
      <c r="D15" s="12" t="s">
        <v>83</v>
      </c>
      <c r="E15" s="12" t="s">
        <v>102</v>
      </c>
      <c r="F15" s="12">
        <v>5</v>
      </c>
      <c r="G15" s="12">
        <v>3</v>
      </c>
      <c r="H15" s="12">
        <v>0</v>
      </c>
      <c r="I15" s="12" t="s">
        <v>25</v>
      </c>
      <c r="K15" s="13" t="s">
        <v>60</v>
      </c>
      <c r="L15" s="24">
        <v>35.828200000000002</v>
      </c>
      <c r="M15" s="7">
        <v>1.6232</v>
      </c>
      <c r="N15" s="7">
        <v>1.0330999999999999</v>
      </c>
      <c r="O15" s="13">
        <f>M15+N15</f>
        <v>2.6562999999999999</v>
      </c>
      <c r="P15" s="13">
        <v>16.8873</v>
      </c>
      <c r="Q15" s="13">
        <v>9.5236000000000001</v>
      </c>
      <c r="R15" s="6">
        <v>0.43740000000000001</v>
      </c>
      <c r="S15" s="7">
        <v>7.9451000000000001</v>
      </c>
      <c r="T15" s="13">
        <v>6.7601000000000004</v>
      </c>
      <c r="V15" s="1">
        <v>1737</v>
      </c>
      <c r="W15" s="1">
        <v>445</v>
      </c>
      <c r="X15" s="1">
        <v>838</v>
      </c>
      <c r="Y15" s="1">
        <v>678</v>
      </c>
      <c r="Z15" s="1">
        <v>279.33333333333297</v>
      </c>
      <c r="AA15" s="1">
        <v>226</v>
      </c>
      <c r="AB15" s="12">
        <v>3</v>
      </c>
      <c r="AC15" s="14">
        <v>5</v>
      </c>
      <c r="AD15" s="1" t="s">
        <v>78</v>
      </c>
      <c r="AF15" s="1" t="s">
        <v>125</v>
      </c>
      <c r="AG15" s="1" t="s">
        <v>132</v>
      </c>
      <c r="AH15" s="27" t="s">
        <v>160</v>
      </c>
      <c r="AI15" s="27" t="s">
        <v>161</v>
      </c>
    </row>
    <row r="16" spans="1:36" ht="68" x14ac:dyDescent="0.2">
      <c r="A16" s="12">
        <v>6</v>
      </c>
      <c r="B16" s="12" t="s">
        <v>23</v>
      </c>
      <c r="C16" s="12" t="s">
        <v>30</v>
      </c>
      <c r="D16" s="12" t="s">
        <v>86</v>
      </c>
      <c r="E16" s="12" t="s">
        <v>105</v>
      </c>
      <c r="F16" s="12">
        <v>5</v>
      </c>
      <c r="G16" s="12">
        <v>3</v>
      </c>
      <c r="H16" s="12">
        <v>0</v>
      </c>
      <c r="I16" s="12" t="s">
        <v>25</v>
      </c>
      <c r="K16" s="13" t="s">
        <v>60</v>
      </c>
      <c r="L16" s="24">
        <v>35.219200000000001</v>
      </c>
      <c r="M16" s="7">
        <v>1.5205</v>
      </c>
      <c r="N16" s="7">
        <v>0.86599999999999999</v>
      </c>
      <c r="O16" s="13">
        <f>M16+N16</f>
        <v>2.3864999999999998</v>
      </c>
      <c r="P16" s="13">
        <v>14.188800000000001</v>
      </c>
      <c r="Q16" s="13">
        <v>11.678599999999999</v>
      </c>
      <c r="R16" s="6">
        <v>0.3972</v>
      </c>
      <c r="S16" s="7">
        <v>10.6243</v>
      </c>
      <c r="T16" s="13">
        <v>6.9645999999999999</v>
      </c>
      <c r="V16" s="1">
        <v>1649</v>
      </c>
      <c r="W16" s="1">
        <v>491</v>
      </c>
      <c r="X16" s="1">
        <v>849</v>
      </c>
      <c r="Y16" s="1">
        <v>663</v>
      </c>
      <c r="Z16" s="1">
        <v>283</v>
      </c>
      <c r="AA16" s="1">
        <v>221</v>
      </c>
      <c r="AB16" s="12">
        <v>3</v>
      </c>
      <c r="AC16" s="14">
        <v>8</v>
      </c>
      <c r="AD16" s="1" t="s">
        <v>135</v>
      </c>
      <c r="AF16" s="1" t="s">
        <v>126</v>
      </c>
      <c r="AG16" s="1" t="s">
        <v>136</v>
      </c>
      <c r="AH16" s="27" t="s">
        <v>162</v>
      </c>
      <c r="AI16" s="27" t="s">
        <v>163</v>
      </c>
    </row>
    <row r="17" spans="1:35" ht="85" x14ac:dyDescent="0.2">
      <c r="A17" s="12">
        <v>11</v>
      </c>
      <c r="B17" s="12" t="s">
        <v>23</v>
      </c>
      <c r="C17" s="12" t="s">
        <v>35</v>
      </c>
      <c r="D17" s="12" t="s">
        <v>91</v>
      </c>
      <c r="E17" s="12" t="s">
        <v>110</v>
      </c>
      <c r="F17" s="12">
        <v>5</v>
      </c>
      <c r="G17" s="12">
        <v>3</v>
      </c>
      <c r="H17" s="12">
        <v>0</v>
      </c>
      <c r="I17" s="12" t="s">
        <v>25</v>
      </c>
      <c r="K17" s="13" t="s">
        <v>60</v>
      </c>
      <c r="L17" s="24">
        <v>36.7517</v>
      </c>
      <c r="M17" s="7">
        <v>1.7266999999999999</v>
      </c>
      <c r="N17" s="7">
        <v>0.92249999999999999</v>
      </c>
      <c r="O17" s="13">
        <f>M17+N17</f>
        <v>2.6492</v>
      </c>
      <c r="P17" s="13">
        <v>15.6648</v>
      </c>
      <c r="Q17" s="13">
        <v>10.7546</v>
      </c>
      <c r="R17" s="6">
        <v>0.4481</v>
      </c>
      <c r="S17" s="7">
        <v>10.1648</v>
      </c>
      <c r="T17" s="13">
        <v>7.6822999999999997</v>
      </c>
      <c r="V17" s="1">
        <v>1158</v>
      </c>
      <c r="W17" s="1">
        <v>476</v>
      </c>
      <c r="X17" s="1">
        <v>1042</v>
      </c>
      <c r="Y17" s="1">
        <v>780</v>
      </c>
      <c r="Z17" s="1">
        <v>260.5</v>
      </c>
      <c r="AA17" s="1">
        <v>195</v>
      </c>
      <c r="AB17" s="12">
        <v>4</v>
      </c>
      <c r="AC17" s="14">
        <v>5</v>
      </c>
      <c r="AD17" s="1" t="s">
        <v>135</v>
      </c>
      <c r="AF17" s="1" t="s">
        <v>124</v>
      </c>
      <c r="AG17" s="1" t="s">
        <v>137</v>
      </c>
      <c r="AH17" s="27" t="s">
        <v>164</v>
      </c>
      <c r="AI17" s="27" t="s">
        <v>165</v>
      </c>
    </row>
    <row r="18" spans="1:35" s="19" customFormat="1" ht="68" x14ac:dyDescent="0.2">
      <c r="A18" s="12">
        <v>18</v>
      </c>
      <c r="B18" s="12" t="s">
        <v>42</v>
      </c>
      <c r="C18" s="12" t="s">
        <v>38</v>
      </c>
      <c r="D18" s="12" t="s">
        <v>92</v>
      </c>
      <c r="E18" s="12" t="s">
        <v>115</v>
      </c>
      <c r="F18" s="12">
        <v>5</v>
      </c>
      <c r="G18" s="12">
        <v>3</v>
      </c>
      <c r="H18" s="12">
        <v>0</v>
      </c>
      <c r="I18" s="12" t="s">
        <v>25</v>
      </c>
      <c r="J18" s="4"/>
      <c r="K18" s="13" t="s">
        <v>60</v>
      </c>
      <c r="L18" s="24">
        <v>33.251600000000003</v>
      </c>
      <c r="M18" s="7">
        <v>1.4234</v>
      </c>
      <c r="N18" s="7">
        <v>1.0377000000000001</v>
      </c>
      <c r="O18" s="13">
        <f>M18+N18</f>
        <v>2.4611000000000001</v>
      </c>
      <c r="P18" s="13">
        <v>13.706200000000001</v>
      </c>
      <c r="Q18" s="13">
        <v>9.2213999999999992</v>
      </c>
      <c r="R18" s="6">
        <v>0.4093</v>
      </c>
      <c r="S18" s="7">
        <v>8.6508000000000003</v>
      </c>
      <c r="T18" s="13">
        <v>7.8621999999999996</v>
      </c>
      <c r="U18" s="4"/>
      <c r="V18" s="1">
        <v>1328</v>
      </c>
      <c r="W18" s="1">
        <v>586</v>
      </c>
      <c r="X18" s="1">
        <v>1152</v>
      </c>
      <c r="Y18" s="1">
        <v>902</v>
      </c>
      <c r="Z18" s="1">
        <v>288</v>
      </c>
      <c r="AA18" s="1">
        <v>225.5</v>
      </c>
      <c r="AB18" s="12">
        <v>4</v>
      </c>
      <c r="AC18" s="14">
        <v>6</v>
      </c>
      <c r="AD18" s="1" t="s">
        <v>78</v>
      </c>
      <c r="AE18" s="4"/>
      <c r="AF18" s="1" t="s">
        <v>125</v>
      </c>
      <c r="AG18" s="1" t="s">
        <v>140</v>
      </c>
      <c r="AH18" s="28" t="s">
        <v>166</v>
      </c>
      <c r="AI18" s="28" t="s">
        <v>167</v>
      </c>
    </row>
    <row r="19" spans="1:35" s="19" customFormat="1" hidden="1" x14ac:dyDescent="0.2">
      <c r="A19" s="12">
        <v>21</v>
      </c>
      <c r="B19" s="12" t="s">
        <v>23</v>
      </c>
      <c r="C19" s="12" t="s">
        <v>24</v>
      </c>
      <c r="D19" s="12" t="s">
        <v>82</v>
      </c>
      <c r="E19" s="12" t="s">
        <v>117</v>
      </c>
      <c r="F19" s="12">
        <v>5</v>
      </c>
      <c r="G19" s="12">
        <v>3</v>
      </c>
      <c r="H19" s="12">
        <v>0.17</v>
      </c>
      <c r="I19" s="12" t="s">
        <v>47</v>
      </c>
      <c r="J19" s="4"/>
      <c r="K19" s="13" t="s">
        <v>60</v>
      </c>
      <c r="L19" s="13">
        <v>36.6417</v>
      </c>
      <c r="M19" s="7">
        <v>1.7568999999999999</v>
      </c>
      <c r="N19" s="7">
        <v>0.93799999999999994</v>
      </c>
      <c r="O19" s="13">
        <f>M19+N19</f>
        <v>2.6948999999999996</v>
      </c>
      <c r="P19" s="13">
        <v>12.5382</v>
      </c>
      <c r="Q19" s="13">
        <v>12.494300000000001</v>
      </c>
      <c r="R19" s="6">
        <v>0.44269999999999998</v>
      </c>
      <c r="S19" s="7">
        <v>11.8475</v>
      </c>
      <c r="T19" s="13">
        <v>8.9131999999999998</v>
      </c>
      <c r="U19" s="4"/>
      <c r="V19" s="1">
        <v>1162</v>
      </c>
      <c r="W19" s="1">
        <v>545</v>
      </c>
      <c r="X19" s="1">
        <v>1028</v>
      </c>
      <c r="Y19" s="1">
        <v>785</v>
      </c>
      <c r="Z19" s="1">
        <v>257</v>
      </c>
      <c r="AA19" s="1">
        <v>196.25</v>
      </c>
      <c r="AB19" s="12">
        <v>4</v>
      </c>
      <c r="AC19" s="14">
        <v>5</v>
      </c>
      <c r="AD19" s="1"/>
      <c r="AE19" s="4"/>
      <c r="AF19" s="19" t="s">
        <v>124</v>
      </c>
      <c r="AG19" s="19" t="s">
        <v>137</v>
      </c>
    </row>
    <row r="20" spans="1:35" s="19" customFormat="1" ht="68" x14ac:dyDescent="0.2">
      <c r="A20" s="19">
        <v>19</v>
      </c>
      <c r="B20" s="19" t="s">
        <v>45</v>
      </c>
      <c r="C20" s="19" t="s">
        <v>46</v>
      </c>
      <c r="D20" s="19" t="s">
        <v>97</v>
      </c>
      <c r="E20" s="19" t="s">
        <v>116</v>
      </c>
      <c r="F20" s="19">
        <v>5</v>
      </c>
      <c r="G20" s="19">
        <v>3</v>
      </c>
      <c r="H20" s="19">
        <v>0</v>
      </c>
      <c r="I20" s="19" t="s">
        <v>25</v>
      </c>
      <c r="J20" s="4"/>
      <c r="K20" s="20" t="s">
        <v>60</v>
      </c>
      <c r="L20" s="21">
        <v>32.470399999999998</v>
      </c>
      <c r="M20" s="20">
        <v>1.3375999999999999</v>
      </c>
      <c r="N20" s="20">
        <v>0.80779999999999996</v>
      </c>
      <c r="O20" s="20">
        <f>M20+N20</f>
        <v>2.1454</v>
      </c>
      <c r="P20" s="20">
        <v>14.038600000000001</v>
      </c>
      <c r="Q20" s="20">
        <v>9.73</v>
      </c>
      <c r="R20" s="21">
        <v>0.45040000000000002</v>
      </c>
      <c r="S20" s="20">
        <v>8.5277999999999992</v>
      </c>
      <c r="T20" s="20">
        <v>6.5545999999999998</v>
      </c>
      <c r="U20" s="4"/>
      <c r="V20" s="19">
        <v>1746</v>
      </c>
      <c r="W20" s="19">
        <v>562</v>
      </c>
      <c r="X20" s="19">
        <v>1113</v>
      </c>
      <c r="Y20" s="19">
        <v>856</v>
      </c>
      <c r="Z20" s="19">
        <v>278.25</v>
      </c>
      <c r="AA20" s="19">
        <v>214</v>
      </c>
      <c r="AB20" s="19">
        <v>4</v>
      </c>
      <c r="AC20" s="22">
        <v>8</v>
      </c>
      <c r="AD20" s="19" t="s">
        <v>78</v>
      </c>
      <c r="AE20" s="4"/>
      <c r="AF20" s="19" t="s">
        <v>129</v>
      </c>
      <c r="AG20" s="19" t="s">
        <v>141</v>
      </c>
      <c r="AH20" s="28" t="s">
        <v>168</v>
      </c>
      <c r="AI20" s="19" t="s">
        <v>169</v>
      </c>
    </row>
    <row r="21" spans="1:35" ht="136" x14ac:dyDescent="0.2">
      <c r="A21" s="15">
        <v>17</v>
      </c>
      <c r="B21" s="15" t="s">
        <v>42</v>
      </c>
      <c r="C21" s="15" t="s">
        <v>44</v>
      </c>
      <c r="D21" s="15" t="s">
        <v>95</v>
      </c>
      <c r="E21" s="15" t="s">
        <v>114</v>
      </c>
      <c r="F21" s="15">
        <v>5</v>
      </c>
      <c r="G21" s="15">
        <v>3</v>
      </c>
      <c r="H21" s="15">
        <v>0</v>
      </c>
      <c r="I21" s="15" t="s">
        <v>25</v>
      </c>
      <c r="K21" s="16" t="s">
        <v>62</v>
      </c>
      <c r="L21" s="26">
        <v>49.535699999999999</v>
      </c>
      <c r="M21" s="7">
        <v>2.0184000000000002</v>
      </c>
      <c r="N21" s="7">
        <v>0.96530000000000005</v>
      </c>
      <c r="O21" s="16">
        <f>M21+N21</f>
        <v>2.9837000000000002</v>
      </c>
      <c r="P21" s="16">
        <v>25.7651</v>
      </c>
      <c r="Q21" s="16">
        <v>9.3183000000000007</v>
      </c>
      <c r="R21" s="6">
        <v>0.46350000000000002</v>
      </c>
      <c r="S21" s="7">
        <v>8.0381</v>
      </c>
      <c r="T21" s="16">
        <v>11.467499999999999</v>
      </c>
      <c r="V21" s="1">
        <v>5553</v>
      </c>
      <c r="W21" s="1">
        <v>1599</v>
      </c>
      <c r="X21" s="1">
        <v>1431</v>
      </c>
      <c r="Y21" s="1">
        <v>1103</v>
      </c>
      <c r="Z21" s="1">
        <v>286.2</v>
      </c>
      <c r="AA21" s="1">
        <v>220.6</v>
      </c>
      <c r="AB21" s="15">
        <v>8</v>
      </c>
      <c r="AC21" s="17">
        <v>30</v>
      </c>
      <c r="AD21" s="1" t="s">
        <v>78</v>
      </c>
      <c r="AF21" s="1" t="s">
        <v>125</v>
      </c>
      <c r="AG21" s="1" t="s">
        <v>139</v>
      </c>
      <c r="AH21" s="27" t="s">
        <v>170</v>
      </c>
      <c r="AI21" s="27" t="s">
        <v>171</v>
      </c>
    </row>
    <row r="22" spans="1:35" ht="136" x14ac:dyDescent="0.2">
      <c r="A22" s="15">
        <v>25</v>
      </c>
      <c r="B22" s="15" t="s">
        <v>42</v>
      </c>
      <c r="C22" s="15" t="s">
        <v>43</v>
      </c>
      <c r="D22" s="15" t="s">
        <v>96</v>
      </c>
      <c r="E22" s="15" t="s">
        <v>120</v>
      </c>
      <c r="F22" s="15">
        <v>5</v>
      </c>
      <c r="G22" s="15">
        <v>3</v>
      </c>
      <c r="H22" s="15">
        <v>0</v>
      </c>
      <c r="I22" s="15" t="s">
        <v>47</v>
      </c>
      <c r="K22" s="16" t="s">
        <v>62</v>
      </c>
      <c r="L22" s="26">
        <v>50.580199999999998</v>
      </c>
      <c r="M22" s="7">
        <v>1.5225</v>
      </c>
      <c r="N22" s="7">
        <v>0.94840000000000002</v>
      </c>
      <c r="O22" s="16">
        <f>M22+N22</f>
        <v>2.4708999999999999</v>
      </c>
      <c r="P22" s="16">
        <v>25.273800000000001</v>
      </c>
      <c r="Q22" s="16">
        <v>12.363</v>
      </c>
      <c r="R22" s="6">
        <v>0.4556</v>
      </c>
      <c r="S22" s="7">
        <v>11.8233</v>
      </c>
      <c r="T22" s="16">
        <v>10.471399999999999</v>
      </c>
      <c r="V22" s="1">
        <v>5893</v>
      </c>
      <c r="W22" s="1">
        <v>1568</v>
      </c>
      <c r="X22" s="1">
        <v>1423</v>
      </c>
      <c r="Y22" s="1">
        <v>1159</v>
      </c>
      <c r="Z22" s="1">
        <v>284.60000000000002</v>
      </c>
      <c r="AA22" s="1">
        <v>231.8</v>
      </c>
      <c r="AB22" s="15">
        <v>8</v>
      </c>
      <c r="AC22" s="17">
        <v>32</v>
      </c>
      <c r="AD22" s="1" t="s">
        <v>78</v>
      </c>
      <c r="AF22" s="1" t="s">
        <v>125</v>
      </c>
      <c r="AG22" s="1" t="s">
        <v>142</v>
      </c>
      <c r="AH22" s="27" t="s">
        <v>172</v>
      </c>
      <c r="AI22" s="27" t="s">
        <v>173</v>
      </c>
    </row>
    <row r="23" spans="1:35" ht="85" x14ac:dyDescent="0.2">
      <c r="A23" s="15">
        <v>26</v>
      </c>
      <c r="B23" s="15" t="s">
        <v>42</v>
      </c>
      <c r="C23" s="15" t="s">
        <v>43</v>
      </c>
      <c r="D23" s="15" t="s">
        <v>96</v>
      </c>
      <c r="E23" s="15" t="s">
        <v>121</v>
      </c>
      <c r="F23" s="15">
        <v>5</v>
      </c>
      <c r="G23" s="15">
        <v>3</v>
      </c>
      <c r="H23" s="15">
        <v>0</v>
      </c>
      <c r="I23" s="15" t="s">
        <v>25</v>
      </c>
      <c r="K23" s="16" t="s">
        <v>62</v>
      </c>
      <c r="L23" s="26">
        <v>50.623600000000003</v>
      </c>
      <c r="M23" s="7">
        <v>1.7739</v>
      </c>
      <c r="N23" s="7">
        <v>1.0491999999999999</v>
      </c>
      <c r="O23" s="16">
        <f>M23+N23</f>
        <v>2.8231000000000002</v>
      </c>
      <c r="P23" s="16">
        <v>30.735800000000001</v>
      </c>
      <c r="Q23" s="16">
        <v>10.813599999999999</v>
      </c>
      <c r="R23" s="6">
        <v>0.45979999999999999</v>
      </c>
      <c r="S23" s="7">
        <v>10.1661</v>
      </c>
      <c r="T23" s="16">
        <v>6.2497999999999996</v>
      </c>
      <c r="V23" s="1">
        <v>5893</v>
      </c>
      <c r="W23" s="1">
        <v>1284</v>
      </c>
      <c r="X23" s="1">
        <v>1390</v>
      </c>
      <c r="Y23" s="1">
        <v>1091</v>
      </c>
      <c r="Z23" s="1">
        <v>278</v>
      </c>
      <c r="AA23" s="1">
        <v>218.2</v>
      </c>
      <c r="AB23" s="15">
        <v>5</v>
      </c>
      <c r="AC23" s="17">
        <v>32</v>
      </c>
      <c r="AD23" s="1" t="s">
        <v>78</v>
      </c>
      <c r="AF23" s="1" t="s">
        <v>125</v>
      </c>
      <c r="AG23" s="1" t="s">
        <v>142</v>
      </c>
      <c r="AH23" s="27" t="s">
        <v>174</v>
      </c>
      <c r="AI23" s="27" t="s">
        <v>175</v>
      </c>
    </row>
    <row r="25" spans="1:35" x14ac:dyDescent="0.2">
      <c r="A25" s="1" t="s">
        <v>50</v>
      </c>
      <c r="L25" s="1">
        <f>AVERAGE(L3:L23)</f>
        <v>34.65014285714286</v>
      </c>
      <c r="M25" s="1">
        <f t="shared" ref="M25:T25" si="0">AVERAGE(M3:M23)</f>
        <v>1.6348190476190474</v>
      </c>
      <c r="N25" s="1">
        <f t="shared" si="0"/>
        <v>0.98398095238095218</v>
      </c>
      <c r="P25" s="1">
        <f t="shared" si="0"/>
        <v>14.638257142857142</v>
      </c>
      <c r="Q25" s="1">
        <f t="shared" si="0"/>
        <v>9.8933238095238085</v>
      </c>
      <c r="R25" s="1">
        <f t="shared" si="0"/>
        <v>0.43128571428571438</v>
      </c>
      <c r="S25" s="1">
        <f t="shared" si="0"/>
        <v>8.9122619047619036</v>
      </c>
      <c r="T25" s="1">
        <f t="shared" si="0"/>
        <v>7.4985476190476179</v>
      </c>
    </row>
    <row r="26" spans="1:35" x14ac:dyDescent="0.2">
      <c r="A26" s="1" t="s">
        <v>54</v>
      </c>
      <c r="L26" s="1">
        <f>MIN(L3:L23)</f>
        <v>22.1127</v>
      </c>
      <c r="M26" s="1">
        <f t="shared" ref="M26:T26" si="1">MIN(M3:M23)</f>
        <v>1.3375999999999999</v>
      </c>
      <c r="N26" s="1">
        <f t="shared" si="1"/>
        <v>0.80779999999999996</v>
      </c>
      <c r="P26" s="1">
        <f t="shared" si="1"/>
        <v>6.1425000000000001</v>
      </c>
      <c r="Q26" s="1">
        <f t="shared" si="1"/>
        <v>4.9195000000000002</v>
      </c>
      <c r="R26" s="1">
        <f t="shared" si="1"/>
        <v>0.39529999999999998</v>
      </c>
      <c r="S26" s="1">
        <f t="shared" si="1"/>
        <v>4.3106999999999998</v>
      </c>
      <c r="T26" s="1">
        <f t="shared" si="1"/>
        <v>4.5091000000000001</v>
      </c>
    </row>
    <row r="27" spans="1:35" x14ac:dyDescent="0.2">
      <c r="A27" s="1" t="s">
        <v>55</v>
      </c>
      <c r="L27" s="1">
        <f>MAX(L3:L23)</f>
        <v>50.623600000000003</v>
      </c>
      <c r="M27" s="1">
        <f t="shared" ref="M27:T27" si="2">MAX(M3:M23)</f>
        <v>2.0184000000000002</v>
      </c>
      <c r="N27" s="1">
        <f t="shared" si="2"/>
        <v>1.3385</v>
      </c>
      <c r="P27" s="1">
        <f t="shared" si="2"/>
        <v>30.735800000000001</v>
      </c>
      <c r="Q27" s="1">
        <f t="shared" si="2"/>
        <v>14.437900000000001</v>
      </c>
      <c r="R27" s="1">
        <f t="shared" si="2"/>
        <v>0.46350000000000002</v>
      </c>
      <c r="S27" s="1">
        <f t="shared" si="2"/>
        <v>13.812200000000001</v>
      </c>
      <c r="T27" s="1">
        <f t="shared" si="2"/>
        <v>11.467499999999999</v>
      </c>
    </row>
    <row r="29" spans="1:35" x14ac:dyDescent="0.2">
      <c r="A29" s="1">
        <v>13</v>
      </c>
      <c r="B29" s="1" t="s">
        <v>36</v>
      </c>
      <c r="C29" s="1" t="s">
        <v>38</v>
      </c>
      <c r="D29" s="1" t="s">
        <v>92</v>
      </c>
      <c r="E29" s="1" t="s">
        <v>111</v>
      </c>
      <c r="F29" s="1">
        <v>5</v>
      </c>
      <c r="G29" s="1">
        <v>3</v>
      </c>
      <c r="H29" s="1">
        <v>0</v>
      </c>
      <c r="I29" s="1" t="s">
        <v>25</v>
      </c>
      <c r="L29" s="1">
        <v>2.5552000000000001</v>
      </c>
      <c r="M29" s="1">
        <v>1.5078</v>
      </c>
      <c r="N29" s="1">
        <v>1.0468999999999999</v>
      </c>
      <c r="O29" s="23">
        <f>M29+N29</f>
        <v>2.5547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AB29" s="1">
        <v>0</v>
      </c>
      <c r="AC29" s="1">
        <v>0</v>
      </c>
      <c r="AD29" s="1" t="s">
        <v>78</v>
      </c>
    </row>
    <row r="30" spans="1:35" x14ac:dyDescent="0.2">
      <c r="AB30"/>
      <c r="AC30" s="1"/>
    </row>
    <row r="31" spans="1:35" x14ac:dyDescent="0.2">
      <c r="AB31"/>
      <c r="AC31" s="1"/>
    </row>
    <row r="32" spans="1:35" x14ac:dyDescent="0.2">
      <c r="G32" s="1" t="s">
        <v>64</v>
      </c>
    </row>
    <row r="33" spans="3:8" x14ac:dyDescent="0.2">
      <c r="C33" s="1" t="s">
        <v>63</v>
      </c>
      <c r="G33" s="1" t="s">
        <v>65</v>
      </c>
    </row>
    <row r="34" spans="3:8" x14ac:dyDescent="0.2">
      <c r="C34" s="1" t="s">
        <v>66</v>
      </c>
      <c r="G34" s="1" t="s">
        <v>67</v>
      </c>
    </row>
    <row r="36" spans="3:8" x14ac:dyDescent="0.2">
      <c r="C36" s="1" t="s">
        <v>68</v>
      </c>
    </row>
    <row r="37" spans="3:8" x14ac:dyDescent="0.2">
      <c r="C37" s="1" t="s">
        <v>69</v>
      </c>
    </row>
    <row r="38" spans="3:8" x14ac:dyDescent="0.2">
      <c r="C38" s="1" t="s">
        <v>70</v>
      </c>
    </row>
    <row r="41" spans="3:8" x14ac:dyDescent="0.2">
      <c r="C41" s="1" t="s">
        <v>58</v>
      </c>
      <c r="G41" s="1" t="s">
        <v>71</v>
      </c>
    </row>
    <row r="42" spans="3:8" x14ac:dyDescent="0.2">
      <c r="C42" s="1" t="s">
        <v>72</v>
      </c>
      <c r="G42" s="1" t="s">
        <v>73</v>
      </c>
      <c r="H42" s="1" t="s">
        <v>79</v>
      </c>
    </row>
    <row r="43" spans="3:8" x14ac:dyDescent="0.2">
      <c r="C43" s="1" t="s">
        <v>72</v>
      </c>
      <c r="G43" s="18" t="s">
        <v>76</v>
      </c>
      <c r="H43" s="1" t="s">
        <v>80</v>
      </c>
    </row>
    <row r="44" spans="3:8" x14ac:dyDescent="0.2">
      <c r="C44" s="1" t="s">
        <v>72</v>
      </c>
      <c r="G44" s="1" t="s">
        <v>77</v>
      </c>
      <c r="H44" s="1" t="s">
        <v>70</v>
      </c>
    </row>
    <row r="45" spans="3:8" x14ac:dyDescent="0.2">
      <c r="C45" s="1" t="s">
        <v>64</v>
      </c>
      <c r="G45" s="1" t="s">
        <v>75</v>
      </c>
    </row>
    <row r="46" spans="3:8" x14ac:dyDescent="0.2">
      <c r="C46" s="1" t="s">
        <v>74</v>
      </c>
      <c r="G46" s="1" t="s">
        <v>73</v>
      </c>
    </row>
  </sheetData>
  <autoFilter ref="A2:AJ23" xr:uid="{882D1967-66C6-9543-B52A-D374E5C3D1B9}">
    <filterColumn colId="29">
      <customFilters>
        <customFilter operator="notEqual" val=" "/>
      </customFilters>
    </filterColumn>
  </autoFilter>
  <mergeCells count="3">
    <mergeCell ref="B1:I1"/>
    <mergeCell ref="L1:T1"/>
    <mergeCell ref="V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EDFA5-F3DE-8149-BA72-0CF9BCA47EFD}">
  <sheetPr filterMode="1"/>
  <dimension ref="A1:AG47"/>
  <sheetViews>
    <sheetView tabSelected="1" zoomScale="75" workbookViewId="0">
      <pane xSplit="7" ySplit="3" topLeftCell="H4" activePane="bottomRight" state="frozen"/>
      <selection pane="topRight" activeCell="H1" sqref="H1"/>
      <selection pane="bottomLeft" activeCell="A3" sqref="A3"/>
      <selection pane="bottomRight" activeCell="X17" sqref="X17"/>
    </sheetView>
  </sheetViews>
  <sheetFormatPr baseColWidth="10" defaultRowHeight="20" customHeight="1" outlineLevelCol="2" x14ac:dyDescent="0.2"/>
  <cols>
    <col min="1" max="1" width="11.83203125" style="1" bestFit="1" customWidth="1"/>
    <col min="2" max="2" width="14.83203125" style="1" customWidth="1" outlineLevel="1"/>
    <col min="3" max="4" width="33.5" style="1" customWidth="1" outlineLevel="1"/>
    <col min="5" max="5" width="45" style="1" customWidth="1" outlineLevel="1"/>
    <col min="6" max="6" width="11.6640625" style="1" hidden="1" customWidth="1" outlineLevel="2"/>
    <col min="7" max="7" width="24.1640625" style="1" hidden="1" customWidth="1" outlineLevel="2"/>
    <col min="8" max="8" width="17" style="1" customWidth="1" outlineLevel="1" collapsed="1"/>
    <col min="9" max="9" width="8.33203125" style="1" customWidth="1" outlineLevel="1"/>
    <col min="10" max="10" width="3.1640625" style="4" customWidth="1"/>
    <col min="11" max="11" width="20" style="1" hidden="1" customWidth="1" outlineLevel="1"/>
    <col min="12" max="12" width="22.1640625" style="1" hidden="1" customWidth="1" outlineLevel="1"/>
    <col min="13" max="13" width="21.6640625" style="1" hidden="1" customWidth="1" outlineLevel="2"/>
    <col min="14" max="14" width="22.1640625" style="1" hidden="1" customWidth="1" outlineLevel="2"/>
    <col min="15" max="15" width="16.6640625" style="1" hidden="1" customWidth="1" outlineLevel="1" collapsed="1"/>
    <col min="16" max="16" width="17" style="1" hidden="1" customWidth="1" outlineLevel="1"/>
    <col min="17" max="17" width="25" style="1" hidden="1" customWidth="1" outlineLevel="1"/>
    <col min="18" max="18" width="23.5" style="1" hidden="1" customWidth="1" outlineLevel="2"/>
    <col min="19" max="19" width="17.6640625" style="1" hidden="1" customWidth="1" outlineLevel="2"/>
    <col min="20" max="20" width="23.5" style="1" hidden="1" customWidth="1" outlineLevel="1" collapsed="1"/>
    <col min="21" max="21" width="3.33203125" style="4" customWidth="1" collapsed="1"/>
    <col min="22" max="29" width="13.1640625" style="1" customWidth="1" outlineLevel="1"/>
    <col min="30" max="30" width="20.5" style="1" customWidth="1"/>
    <col min="31" max="31" width="25.33203125" customWidth="1"/>
    <col min="32" max="32" width="13.5" style="1" customWidth="1"/>
    <col min="33" max="33" width="3.33203125" style="4" customWidth="1" collapsed="1"/>
    <col min="34" max="16384" width="10.83203125" style="1"/>
  </cols>
  <sheetData>
    <row r="1" spans="1:33" ht="20" customHeight="1" x14ac:dyDescent="0.2">
      <c r="B1" s="2" t="s">
        <v>51</v>
      </c>
      <c r="C1" s="2"/>
      <c r="D1" s="2"/>
      <c r="E1" s="2"/>
      <c r="F1" s="2"/>
      <c r="G1" s="2"/>
      <c r="H1" s="2"/>
      <c r="I1" s="2"/>
      <c r="J1" s="3"/>
      <c r="K1" s="8"/>
      <c r="L1" s="2" t="s">
        <v>52</v>
      </c>
      <c r="M1" s="2"/>
      <c r="N1" s="2"/>
      <c r="O1" s="2"/>
      <c r="P1" s="2"/>
      <c r="Q1" s="2"/>
      <c r="R1" s="2"/>
      <c r="S1" s="2"/>
      <c r="T1" s="2"/>
      <c r="U1" s="3"/>
      <c r="V1" s="2" t="s">
        <v>53</v>
      </c>
      <c r="W1" s="2"/>
      <c r="X1" s="2"/>
      <c r="Y1" s="2"/>
      <c r="Z1" s="2"/>
      <c r="AA1" s="2"/>
      <c r="AB1" s="8"/>
      <c r="AC1" s="8"/>
      <c r="AG1" s="3"/>
    </row>
    <row r="2" spans="1:33" ht="20" customHeight="1" x14ac:dyDescent="0.2">
      <c r="B2" s="8"/>
      <c r="C2" s="8"/>
      <c r="D2" s="8"/>
      <c r="E2" s="8"/>
      <c r="F2" s="8"/>
      <c r="G2" s="8"/>
      <c r="H2" s="8"/>
      <c r="I2" s="8"/>
      <c r="J2" s="3"/>
      <c r="K2" s="8"/>
      <c r="L2" s="8"/>
      <c r="M2" s="8"/>
      <c r="N2" s="8"/>
      <c r="O2" s="8"/>
      <c r="P2" s="8"/>
      <c r="Q2" s="8"/>
      <c r="R2" s="8"/>
      <c r="S2" s="8"/>
      <c r="T2" s="8"/>
      <c r="U2" s="3"/>
      <c r="V2" s="2" t="s">
        <v>176</v>
      </c>
      <c r="W2" s="2"/>
      <c r="X2" s="2" t="s">
        <v>178</v>
      </c>
      <c r="Y2" s="2"/>
      <c r="Z2" s="2" t="s">
        <v>177</v>
      </c>
      <c r="AA2" s="2"/>
      <c r="AB2" s="2" t="s">
        <v>179</v>
      </c>
      <c r="AC2" s="2"/>
      <c r="AG2" s="3"/>
    </row>
    <row r="3" spans="1:33" s="5" customFormat="1" ht="20" customHeight="1" x14ac:dyDescent="0.2">
      <c r="A3" s="5" t="s">
        <v>0</v>
      </c>
      <c r="B3" s="5" t="s">
        <v>1</v>
      </c>
      <c r="C3" s="5" t="s">
        <v>2</v>
      </c>
      <c r="D3" s="5" t="s">
        <v>98</v>
      </c>
      <c r="E3" s="5" t="s">
        <v>99</v>
      </c>
      <c r="F3" s="5" t="s">
        <v>3</v>
      </c>
      <c r="G3" s="5" t="s">
        <v>4</v>
      </c>
      <c r="H3" s="5" t="s">
        <v>5</v>
      </c>
      <c r="I3" s="5" t="s">
        <v>6</v>
      </c>
      <c r="K3" s="5" t="s">
        <v>59</v>
      </c>
      <c r="L3" s="5" t="s">
        <v>7</v>
      </c>
      <c r="M3" s="5" t="s">
        <v>8</v>
      </c>
      <c r="N3" s="5" t="s">
        <v>9</v>
      </c>
      <c r="O3" s="5" t="s">
        <v>58</v>
      </c>
      <c r="P3" s="5" t="s">
        <v>10</v>
      </c>
      <c r="Q3" s="5" t="s">
        <v>12</v>
      </c>
      <c r="R3" s="5" t="s">
        <v>13</v>
      </c>
      <c r="S3" s="5" t="s">
        <v>14</v>
      </c>
      <c r="T3" s="5" t="s">
        <v>15</v>
      </c>
      <c r="V3" s="5" t="s">
        <v>51</v>
      </c>
      <c r="W3" s="5" t="s">
        <v>180</v>
      </c>
      <c r="X3" s="5" t="s">
        <v>51</v>
      </c>
      <c r="Y3" s="5" t="s">
        <v>180</v>
      </c>
      <c r="Z3" s="5" t="s">
        <v>51</v>
      </c>
      <c r="AA3" s="5" t="s">
        <v>180</v>
      </c>
      <c r="AB3" s="5" t="s">
        <v>51</v>
      </c>
      <c r="AC3" s="5" t="s">
        <v>180</v>
      </c>
      <c r="AD3" s="5" t="s">
        <v>22</v>
      </c>
      <c r="AE3" s="5" t="s">
        <v>57</v>
      </c>
      <c r="AF3" s="5" t="s">
        <v>48</v>
      </c>
    </row>
    <row r="4" spans="1:33" ht="20" customHeight="1" x14ac:dyDescent="0.2">
      <c r="A4" s="12">
        <v>1</v>
      </c>
      <c r="B4" s="12" t="s">
        <v>23</v>
      </c>
      <c r="C4" s="12" t="s">
        <v>24</v>
      </c>
      <c r="D4" s="12" t="s">
        <v>82</v>
      </c>
      <c r="E4" s="12" t="s">
        <v>100</v>
      </c>
      <c r="F4" s="12">
        <v>5</v>
      </c>
      <c r="G4" s="12">
        <v>3</v>
      </c>
      <c r="H4" s="12">
        <v>0</v>
      </c>
      <c r="I4" s="12" t="s">
        <v>25</v>
      </c>
      <c r="K4" s="13" t="s">
        <v>60</v>
      </c>
      <c r="L4" s="24">
        <v>38.019799999999996</v>
      </c>
      <c r="M4" s="7">
        <v>1.79</v>
      </c>
      <c r="N4" s="7">
        <v>1.0267999999999999</v>
      </c>
      <c r="O4" s="13">
        <f>M4+N4</f>
        <v>2.8167999999999997</v>
      </c>
      <c r="P4" s="13">
        <v>14.771699999999999</v>
      </c>
      <c r="Q4" s="13">
        <v>14.437900000000001</v>
      </c>
      <c r="R4" s="6">
        <v>0.432</v>
      </c>
      <c r="S4" s="7">
        <v>13.812200000000001</v>
      </c>
      <c r="T4" s="13">
        <v>5.9924999999999997</v>
      </c>
      <c r="V4" s="32">
        <v>1162</v>
      </c>
      <c r="W4" s="32">
        <v>562</v>
      </c>
      <c r="X4" s="32">
        <v>1028</v>
      </c>
      <c r="Y4" s="32">
        <v>814</v>
      </c>
      <c r="Z4" s="32">
        <v>257</v>
      </c>
      <c r="AA4" s="32">
        <v>203.5</v>
      </c>
      <c r="AB4" s="34">
        <v>852</v>
      </c>
      <c r="AC4" s="34">
        <v>339</v>
      </c>
      <c r="AD4" s="12">
        <v>4</v>
      </c>
      <c r="AE4" s="14">
        <v>5</v>
      </c>
      <c r="AF4" s="1" t="s">
        <v>78</v>
      </c>
    </row>
    <row r="5" spans="1:33" ht="20" hidden="1" customHeight="1" x14ac:dyDescent="0.2">
      <c r="A5" s="19">
        <v>2</v>
      </c>
      <c r="B5" s="19" t="s">
        <v>23</v>
      </c>
      <c r="C5" s="19" t="s">
        <v>26</v>
      </c>
      <c r="D5" s="19" t="s">
        <v>81</v>
      </c>
      <c r="E5" s="19" t="s">
        <v>101</v>
      </c>
      <c r="F5" s="19">
        <v>5</v>
      </c>
      <c r="G5" s="19">
        <v>3</v>
      </c>
      <c r="H5" s="19">
        <v>0</v>
      </c>
      <c r="I5" s="19" t="s">
        <v>25</v>
      </c>
      <c r="K5" s="20" t="s">
        <v>61</v>
      </c>
      <c r="L5" s="20">
        <v>25.857900000000001</v>
      </c>
      <c r="M5" s="20">
        <v>1.6840999999999999</v>
      </c>
      <c r="N5" s="20">
        <v>1.0232000000000001</v>
      </c>
      <c r="O5" s="20">
        <f>M5+N5</f>
        <v>2.7073</v>
      </c>
      <c r="P5" s="20">
        <v>7.6795999999999998</v>
      </c>
      <c r="Q5" s="20">
        <v>8.7030999999999992</v>
      </c>
      <c r="R5" s="21">
        <v>0.39910000000000001</v>
      </c>
      <c r="S5" s="20">
        <v>8.1353000000000009</v>
      </c>
      <c r="T5" s="20">
        <v>6.7605000000000004</v>
      </c>
      <c r="V5" s="31">
        <v>487</v>
      </c>
      <c r="W5" s="31">
        <v>160</v>
      </c>
      <c r="X5" s="31">
        <v>300</v>
      </c>
      <c r="Y5" s="31">
        <v>207</v>
      </c>
      <c r="Z5" s="31">
        <v>300</v>
      </c>
      <c r="AA5" s="31">
        <v>207</v>
      </c>
      <c r="AB5" s="30">
        <v>1258</v>
      </c>
      <c r="AC5" s="30">
        <v>279</v>
      </c>
      <c r="AD5" s="19">
        <v>1</v>
      </c>
      <c r="AE5" s="22">
        <v>1</v>
      </c>
    </row>
    <row r="6" spans="1:33" ht="20" customHeight="1" x14ac:dyDescent="0.2">
      <c r="A6" s="12">
        <v>3</v>
      </c>
      <c r="B6" s="12" t="s">
        <v>23</v>
      </c>
      <c r="C6" s="12" t="s">
        <v>27</v>
      </c>
      <c r="D6" s="12" t="s">
        <v>83</v>
      </c>
      <c r="E6" s="12" t="s">
        <v>102</v>
      </c>
      <c r="F6" s="12">
        <v>5</v>
      </c>
      <c r="G6" s="12">
        <v>3</v>
      </c>
      <c r="H6" s="12">
        <v>0</v>
      </c>
      <c r="I6" s="12" t="s">
        <v>25</v>
      </c>
      <c r="K6" s="13" t="s">
        <v>60</v>
      </c>
      <c r="L6" s="24">
        <v>35.828200000000002</v>
      </c>
      <c r="M6" s="7">
        <v>1.6232</v>
      </c>
      <c r="N6" s="7">
        <v>1.0330999999999999</v>
      </c>
      <c r="O6" s="13">
        <f>M6+N6</f>
        <v>2.6562999999999999</v>
      </c>
      <c r="P6" s="13">
        <v>16.8873</v>
      </c>
      <c r="Q6" s="13">
        <v>9.5236000000000001</v>
      </c>
      <c r="R6" s="6">
        <v>0.43740000000000001</v>
      </c>
      <c r="S6" s="7">
        <v>7.9451000000000001</v>
      </c>
      <c r="T6" s="13">
        <v>6.7601000000000004</v>
      </c>
      <c r="V6" s="32">
        <v>1737</v>
      </c>
      <c r="W6" s="32">
        <v>445</v>
      </c>
      <c r="X6" s="32">
        <v>838</v>
      </c>
      <c r="Y6" s="32">
        <v>678</v>
      </c>
      <c r="Z6" s="32">
        <v>279.33333333333297</v>
      </c>
      <c r="AA6" s="32">
        <v>226</v>
      </c>
      <c r="AB6" s="34">
        <v>823</v>
      </c>
      <c r="AC6" s="34">
        <v>364</v>
      </c>
      <c r="AD6" s="12">
        <v>3</v>
      </c>
      <c r="AE6" s="14">
        <v>5</v>
      </c>
      <c r="AF6" s="1" t="s">
        <v>78</v>
      </c>
    </row>
    <row r="7" spans="1:33" ht="20" hidden="1" customHeight="1" x14ac:dyDescent="0.2">
      <c r="A7" s="9">
        <v>4</v>
      </c>
      <c r="B7" s="9" t="s">
        <v>23</v>
      </c>
      <c r="C7" s="9" t="s">
        <v>28</v>
      </c>
      <c r="D7" s="9" t="s">
        <v>84</v>
      </c>
      <c r="E7" s="9" t="s">
        <v>103</v>
      </c>
      <c r="F7" s="9">
        <v>5</v>
      </c>
      <c r="G7" s="9">
        <v>3</v>
      </c>
      <c r="H7" s="9">
        <v>0</v>
      </c>
      <c r="I7" s="9" t="s">
        <v>25</v>
      </c>
      <c r="K7" s="11" t="s">
        <v>61</v>
      </c>
      <c r="L7" s="11">
        <v>29.0748</v>
      </c>
      <c r="M7" s="7">
        <v>1.5277000000000001</v>
      </c>
      <c r="N7" s="7">
        <v>0.92069999999999996</v>
      </c>
      <c r="O7" s="11">
        <f>M7+N7</f>
        <v>2.4483999999999999</v>
      </c>
      <c r="P7" s="11">
        <v>10.7882</v>
      </c>
      <c r="Q7" s="11">
        <v>8.2530999999999999</v>
      </c>
      <c r="R7" s="6">
        <v>0.41880000000000001</v>
      </c>
      <c r="S7" s="7">
        <v>7.6355000000000004</v>
      </c>
      <c r="T7" s="11">
        <v>7.5846999999999998</v>
      </c>
      <c r="V7" s="29">
        <v>855</v>
      </c>
      <c r="W7" s="29">
        <v>231</v>
      </c>
      <c r="X7" s="29">
        <v>289</v>
      </c>
      <c r="Y7" s="29">
        <v>217</v>
      </c>
      <c r="Z7" s="29">
        <v>289</v>
      </c>
      <c r="AA7" s="29">
        <v>217</v>
      </c>
      <c r="AB7" s="30">
        <v>811</v>
      </c>
      <c r="AC7" s="30">
        <v>314</v>
      </c>
      <c r="AD7" s="9">
        <v>1</v>
      </c>
      <c r="AE7" s="10">
        <v>3</v>
      </c>
    </row>
    <row r="8" spans="1:33" ht="20" customHeight="1" x14ac:dyDescent="0.2">
      <c r="A8" s="9">
        <v>5</v>
      </c>
      <c r="B8" s="9" t="s">
        <v>23</v>
      </c>
      <c r="C8" s="9" t="s">
        <v>29</v>
      </c>
      <c r="D8" s="9" t="s">
        <v>85</v>
      </c>
      <c r="E8" s="9" t="s">
        <v>104</v>
      </c>
      <c r="F8" s="9">
        <v>5</v>
      </c>
      <c r="G8" s="9">
        <v>3</v>
      </c>
      <c r="H8" s="9">
        <v>0</v>
      </c>
      <c r="I8" s="9" t="s">
        <v>25</v>
      </c>
      <c r="K8" s="11" t="s">
        <v>61</v>
      </c>
      <c r="L8" s="25">
        <v>26.511099999999999</v>
      </c>
      <c r="M8" s="7">
        <v>1.6244000000000001</v>
      </c>
      <c r="N8" s="7">
        <v>0.9103</v>
      </c>
      <c r="O8" s="11">
        <f>M8+N8</f>
        <v>2.5347</v>
      </c>
      <c r="P8" s="11">
        <v>9.8414000000000001</v>
      </c>
      <c r="Q8" s="11">
        <v>9.6252999999999993</v>
      </c>
      <c r="R8" s="6">
        <v>0.45250000000000001</v>
      </c>
      <c r="S8" s="7">
        <v>8.077</v>
      </c>
      <c r="T8" s="11">
        <v>4.5091000000000001</v>
      </c>
      <c r="V8" s="32">
        <v>1135</v>
      </c>
      <c r="W8" s="32">
        <v>557</v>
      </c>
      <c r="X8" s="32">
        <v>1149</v>
      </c>
      <c r="Y8" s="32">
        <v>872</v>
      </c>
      <c r="Z8" s="32">
        <v>287.25</v>
      </c>
      <c r="AA8" s="32">
        <v>218</v>
      </c>
      <c r="AB8" s="34">
        <v>832</v>
      </c>
      <c r="AC8" s="34">
        <v>249</v>
      </c>
      <c r="AD8" s="9">
        <v>4</v>
      </c>
      <c r="AE8" s="10">
        <v>5</v>
      </c>
      <c r="AF8" s="1" t="s">
        <v>135</v>
      </c>
    </row>
    <row r="9" spans="1:33" ht="20" customHeight="1" x14ac:dyDescent="0.2">
      <c r="A9" s="12">
        <v>6</v>
      </c>
      <c r="B9" s="12" t="s">
        <v>23</v>
      </c>
      <c r="C9" s="12" t="s">
        <v>30</v>
      </c>
      <c r="D9" s="12" t="s">
        <v>86</v>
      </c>
      <c r="E9" s="12" t="s">
        <v>105</v>
      </c>
      <c r="F9" s="12">
        <v>5</v>
      </c>
      <c r="G9" s="12">
        <v>3</v>
      </c>
      <c r="H9" s="12">
        <v>0</v>
      </c>
      <c r="I9" s="12" t="s">
        <v>25</v>
      </c>
      <c r="K9" s="13" t="s">
        <v>60</v>
      </c>
      <c r="L9" s="24">
        <v>35.219200000000001</v>
      </c>
      <c r="M9" s="7">
        <v>1.5205</v>
      </c>
      <c r="N9" s="7">
        <v>0.86599999999999999</v>
      </c>
      <c r="O9" s="13">
        <f>M9+N9</f>
        <v>2.3864999999999998</v>
      </c>
      <c r="P9" s="13">
        <v>14.188800000000001</v>
      </c>
      <c r="Q9" s="13">
        <v>11.678599999999999</v>
      </c>
      <c r="R9" s="6">
        <v>0.3972</v>
      </c>
      <c r="S9" s="7">
        <v>10.6243</v>
      </c>
      <c r="T9" s="13">
        <v>6.9645999999999999</v>
      </c>
      <c r="V9" s="32">
        <v>1649</v>
      </c>
      <c r="W9" s="32">
        <v>491</v>
      </c>
      <c r="X9" s="32">
        <v>849</v>
      </c>
      <c r="Y9" s="32">
        <v>663</v>
      </c>
      <c r="Z9" s="32">
        <v>283</v>
      </c>
      <c r="AA9" s="32">
        <v>221</v>
      </c>
      <c r="AB9" s="34">
        <v>836</v>
      </c>
      <c r="AC9" s="34">
        <v>307</v>
      </c>
      <c r="AD9" s="12">
        <v>3</v>
      </c>
      <c r="AE9" s="14">
        <v>8</v>
      </c>
      <c r="AF9" s="1" t="s">
        <v>135</v>
      </c>
    </row>
    <row r="10" spans="1:33" ht="20" customHeight="1" x14ac:dyDescent="0.2">
      <c r="A10" s="9">
        <v>7</v>
      </c>
      <c r="B10" s="9" t="s">
        <v>23</v>
      </c>
      <c r="C10" s="9" t="s">
        <v>31</v>
      </c>
      <c r="D10" s="9" t="s">
        <v>87</v>
      </c>
      <c r="E10" s="9" t="s">
        <v>106</v>
      </c>
      <c r="F10" s="9">
        <v>5</v>
      </c>
      <c r="G10" s="9">
        <v>3</v>
      </c>
      <c r="H10" s="9">
        <v>0</v>
      </c>
      <c r="I10" s="9" t="s">
        <v>25</v>
      </c>
      <c r="K10" s="11" t="s">
        <v>61</v>
      </c>
      <c r="L10" s="25">
        <v>27.6388</v>
      </c>
      <c r="M10" s="7">
        <v>1.6237999999999999</v>
      </c>
      <c r="N10" s="7">
        <v>1.3385</v>
      </c>
      <c r="O10" s="11">
        <f>M10+N10</f>
        <v>2.9622999999999999</v>
      </c>
      <c r="P10" s="11">
        <v>11.053800000000001</v>
      </c>
      <c r="Q10" s="11">
        <v>7.8822999999999999</v>
      </c>
      <c r="R10" s="6">
        <v>0.41660000000000003</v>
      </c>
      <c r="S10" s="7">
        <v>7.3109000000000002</v>
      </c>
      <c r="T10" s="11">
        <v>5.7397999999999998</v>
      </c>
      <c r="V10" s="32">
        <v>1305</v>
      </c>
      <c r="W10" s="32">
        <v>442</v>
      </c>
      <c r="X10" s="32">
        <v>841</v>
      </c>
      <c r="Y10" s="32">
        <v>617</v>
      </c>
      <c r="Z10" s="32">
        <v>280.33333333333297</v>
      </c>
      <c r="AA10" s="32">
        <v>205.666666666666</v>
      </c>
      <c r="AB10" s="34">
        <v>798</v>
      </c>
      <c r="AC10" s="34">
        <v>252</v>
      </c>
      <c r="AD10" s="9">
        <v>3</v>
      </c>
      <c r="AE10" s="10">
        <v>6</v>
      </c>
      <c r="AF10" s="1" t="s">
        <v>78</v>
      </c>
    </row>
    <row r="11" spans="1:33" ht="20" hidden="1" customHeight="1" x14ac:dyDescent="0.2">
      <c r="A11" s="19">
        <v>8</v>
      </c>
      <c r="B11" s="19" t="s">
        <v>23</v>
      </c>
      <c r="C11" s="19" t="s">
        <v>32</v>
      </c>
      <c r="D11" s="19" t="s">
        <v>88</v>
      </c>
      <c r="E11" s="19" t="s">
        <v>107</v>
      </c>
      <c r="F11" s="19">
        <v>5</v>
      </c>
      <c r="G11" s="19">
        <v>3</v>
      </c>
      <c r="H11" s="19">
        <v>0</v>
      </c>
      <c r="I11" s="19" t="s">
        <v>25</v>
      </c>
      <c r="K11" s="20" t="s">
        <v>62</v>
      </c>
      <c r="L11" s="20">
        <v>43.564700000000002</v>
      </c>
      <c r="M11" s="20">
        <v>1.6375999999999999</v>
      </c>
      <c r="N11" s="20">
        <v>1.0741000000000001</v>
      </c>
      <c r="O11" s="20">
        <f>M11+N11</f>
        <v>2.7117</v>
      </c>
      <c r="P11" s="20">
        <v>21.645</v>
      </c>
      <c r="Q11" s="20">
        <v>12.289199999999999</v>
      </c>
      <c r="R11" s="21">
        <v>0.44419999999999998</v>
      </c>
      <c r="S11" s="20">
        <v>10.7524</v>
      </c>
      <c r="T11" s="20">
        <v>6.9180000000000001</v>
      </c>
      <c r="V11" s="31">
        <v>1234</v>
      </c>
      <c r="W11" s="31">
        <v>578</v>
      </c>
      <c r="X11" s="31">
        <v>1425</v>
      </c>
      <c r="Y11" s="31">
        <v>1111</v>
      </c>
      <c r="Z11" s="31">
        <v>285</v>
      </c>
      <c r="AA11" s="31">
        <v>222.2</v>
      </c>
      <c r="AB11" s="30">
        <v>1036</v>
      </c>
      <c r="AC11" s="30">
        <v>359</v>
      </c>
      <c r="AD11" s="19">
        <v>5</v>
      </c>
      <c r="AE11" s="22">
        <v>5</v>
      </c>
      <c r="AF11" s="19"/>
    </row>
    <row r="12" spans="1:33" ht="20" hidden="1" customHeight="1" x14ac:dyDescent="0.2">
      <c r="A12" s="19">
        <v>9</v>
      </c>
      <c r="B12" s="19" t="s">
        <v>23</v>
      </c>
      <c r="C12" s="19" t="s">
        <v>33</v>
      </c>
      <c r="D12" s="19" t="s">
        <v>89</v>
      </c>
      <c r="E12" s="19" t="s">
        <v>108</v>
      </c>
      <c r="F12" s="19">
        <v>5</v>
      </c>
      <c r="G12" s="19">
        <v>3</v>
      </c>
      <c r="H12" s="19">
        <v>0</v>
      </c>
      <c r="I12" s="19" t="s">
        <v>25</v>
      </c>
      <c r="K12" s="20" t="s">
        <v>62</v>
      </c>
      <c r="L12" s="20">
        <v>42.935400000000001</v>
      </c>
      <c r="M12" s="20">
        <v>1.7733000000000001</v>
      </c>
      <c r="N12" s="20">
        <v>1.0573999999999999</v>
      </c>
      <c r="O12" s="20">
        <f>M12+N12</f>
        <v>2.8307000000000002</v>
      </c>
      <c r="P12" s="20">
        <v>21.552600000000002</v>
      </c>
      <c r="Q12" s="20">
        <v>9.7521000000000004</v>
      </c>
      <c r="R12" s="21">
        <v>0.45590000000000003</v>
      </c>
      <c r="S12" s="20">
        <v>8.1346000000000007</v>
      </c>
      <c r="T12" s="20">
        <v>8.7988999999999997</v>
      </c>
      <c r="V12" s="31">
        <v>1803</v>
      </c>
      <c r="W12" s="31">
        <v>920</v>
      </c>
      <c r="X12" s="31">
        <v>1458</v>
      </c>
      <c r="Y12" s="31">
        <v>1174</v>
      </c>
      <c r="Z12" s="31">
        <v>291.60000000000002</v>
      </c>
      <c r="AA12" s="31">
        <v>234.8</v>
      </c>
      <c r="AB12" s="30">
        <v>1083</v>
      </c>
      <c r="AC12" s="30">
        <v>313</v>
      </c>
      <c r="AD12" s="19">
        <v>8</v>
      </c>
      <c r="AE12" s="22">
        <v>8</v>
      </c>
      <c r="AF12" s="19"/>
    </row>
    <row r="13" spans="1:33" ht="20" hidden="1" customHeight="1" x14ac:dyDescent="0.2">
      <c r="A13" s="9">
        <v>10</v>
      </c>
      <c r="B13" s="9" t="s">
        <v>23</v>
      </c>
      <c r="C13" s="9" t="s">
        <v>34</v>
      </c>
      <c r="D13" s="9" t="s">
        <v>90</v>
      </c>
      <c r="E13" s="9" t="s">
        <v>109</v>
      </c>
      <c r="F13" s="9">
        <v>5</v>
      </c>
      <c r="G13" s="9">
        <v>3</v>
      </c>
      <c r="H13" s="9">
        <v>0</v>
      </c>
      <c r="I13" s="9" t="s">
        <v>25</v>
      </c>
      <c r="K13" s="11" t="s">
        <v>61</v>
      </c>
      <c r="L13" s="11">
        <v>29.283000000000001</v>
      </c>
      <c r="M13" s="7">
        <v>1.7356</v>
      </c>
      <c r="N13" s="7">
        <v>0.83220000000000005</v>
      </c>
      <c r="O13" s="11">
        <f>M13+N13</f>
        <v>2.5678000000000001</v>
      </c>
      <c r="P13" s="11">
        <v>11.662000000000001</v>
      </c>
      <c r="Q13" s="11">
        <v>9.4343000000000004</v>
      </c>
      <c r="R13" s="6">
        <v>0.4345</v>
      </c>
      <c r="S13" s="7">
        <v>8.0478000000000005</v>
      </c>
      <c r="T13" s="11">
        <v>5.6180000000000003</v>
      </c>
      <c r="V13" s="29">
        <v>1667</v>
      </c>
      <c r="W13" s="29">
        <v>676</v>
      </c>
      <c r="X13" s="29">
        <v>1312</v>
      </c>
      <c r="Y13" s="29">
        <v>985</v>
      </c>
      <c r="Z13" s="29">
        <v>262.39999999999998</v>
      </c>
      <c r="AA13" s="29">
        <v>197</v>
      </c>
      <c r="AB13" s="30">
        <v>862</v>
      </c>
      <c r="AC13" s="30">
        <v>246</v>
      </c>
      <c r="AD13" s="9">
        <v>5</v>
      </c>
      <c r="AE13" s="10">
        <v>8</v>
      </c>
    </row>
    <row r="14" spans="1:33" ht="20" customHeight="1" x14ac:dyDescent="0.2">
      <c r="A14" s="12">
        <v>11</v>
      </c>
      <c r="B14" s="12" t="s">
        <v>23</v>
      </c>
      <c r="C14" s="12" t="s">
        <v>35</v>
      </c>
      <c r="D14" s="12" t="s">
        <v>91</v>
      </c>
      <c r="E14" s="12" t="s">
        <v>110</v>
      </c>
      <c r="F14" s="12">
        <v>5</v>
      </c>
      <c r="G14" s="12">
        <v>3</v>
      </c>
      <c r="H14" s="12">
        <v>0</v>
      </c>
      <c r="I14" s="12" t="s">
        <v>25</v>
      </c>
      <c r="K14" s="13" t="s">
        <v>60</v>
      </c>
      <c r="L14" s="24">
        <v>36.7517</v>
      </c>
      <c r="M14" s="7">
        <v>1.7266999999999999</v>
      </c>
      <c r="N14" s="7">
        <v>0.92249999999999999</v>
      </c>
      <c r="O14" s="13">
        <f>M14+N14</f>
        <v>2.6492</v>
      </c>
      <c r="P14" s="13">
        <v>15.6648</v>
      </c>
      <c r="Q14" s="13">
        <v>10.7546</v>
      </c>
      <c r="R14" s="6">
        <v>0.4481</v>
      </c>
      <c r="S14" s="7">
        <v>10.1648</v>
      </c>
      <c r="T14" s="13">
        <v>7.6822999999999997</v>
      </c>
      <c r="V14" s="32">
        <v>1158</v>
      </c>
      <c r="W14" s="32">
        <v>476</v>
      </c>
      <c r="X14" s="32">
        <v>1042</v>
      </c>
      <c r="Y14" s="32">
        <v>780</v>
      </c>
      <c r="Z14" s="32">
        <v>260.5</v>
      </c>
      <c r="AA14" s="32">
        <v>195</v>
      </c>
      <c r="AB14" s="34">
        <v>849</v>
      </c>
      <c r="AC14" s="34">
        <v>308</v>
      </c>
      <c r="AD14" s="12">
        <v>4</v>
      </c>
      <c r="AE14" s="14">
        <v>5</v>
      </c>
      <c r="AF14" s="1" t="s">
        <v>135</v>
      </c>
    </row>
    <row r="15" spans="1:33" ht="20" customHeight="1" x14ac:dyDescent="0.2">
      <c r="A15" s="19">
        <v>14</v>
      </c>
      <c r="B15" s="19" t="s">
        <v>39</v>
      </c>
      <c r="C15" s="19" t="s">
        <v>40</v>
      </c>
      <c r="D15" s="19" t="s">
        <v>93</v>
      </c>
      <c r="E15" s="19" t="s">
        <v>112</v>
      </c>
      <c r="F15" s="19">
        <v>5</v>
      </c>
      <c r="G15" s="19">
        <v>3</v>
      </c>
      <c r="H15" s="19">
        <v>0</v>
      </c>
      <c r="I15" s="19" t="s">
        <v>25</v>
      </c>
      <c r="K15" s="20" t="s">
        <v>61</v>
      </c>
      <c r="L15" s="21">
        <v>27.408100000000001</v>
      </c>
      <c r="M15" s="20">
        <v>1.3975</v>
      </c>
      <c r="N15" s="20">
        <v>0.84730000000000005</v>
      </c>
      <c r="O15" s="20">
        <f>M15+N15</f>
        <v>2.2448000000000001</v>
      </c>
      <c r="P15" s="20">
        <v>7.4112</v>
      </c>
      <c r="Q15" s="20">
        <v>10.1774</v>
      </c>
      <c r="R15" s="21">
        <v>0.41830000000000001</v>
      </c>
      <c r="S15" s="20">
        <v>8.4649000000000001</v>
      </c>
      <c r="T15" s="20">
        <v>7.5739999999999998</v>
      </c>
      <c r="V15" s="33">
        <v>788</v>
      </c>
      <c r="W15" s="33">
        <v>268</v>
      </c>
      <c r="X15" s="33">
        <v>572</v>
      </c>
      <c r="Y15" s="33">
        <v>460</v>
      </c>
      <c r="Z15" s="33">
        <v>286</v>
      </c>
      <c r="AA15" s="33">
        <v>230</v>
      </c>
      <c r="AB15" s="34">
        <v>807</v>
      </c>
      <c r="AC15" s="34">
        <v>296</v>
      </c>
      <c r="AD15" s="19">
        <v>2</v>
      </c>
      <c r="AE15" s="22">
        <v>3</v>
      </c>
      <c r="AF15" s="1" t="s">
        <v>135</v>
      </c>
    </row>
    <row r="16" spans="1:33" ht="20" customHeight="1" x14ac:dyDescent="0.2">
      <c r="A16" s="9">
        <v>15</v>
      </c>
      <c r="B16" s="9" t="s">
        <v>39</v>
      </c>
      <c r="C16" s="9" t="s">
        <v>41</v>
      </c>
      <c r="D16" s="9" t="s">
        <v>94</v>
      </c>
      <c r="E16" s="9" t="s">
        <v>113</v>
      </c>
      <c r="F16" s="9">
        <v>5</v>
      </c>
      <c r="G16" s="9">
        <v>3</v>
      </c>
      <c r="H16" s="9">
        <v>0</v>
      </c>
      <c r="I16" s="9" t="s">
        <v>25</v>
      </c>
      <c r="K16" s="11" t="s">
        <v>61</v>
      </c>
      <c r="L16" s="25">
        <v>22.1127</v>
      </c>
      <c r="M16" s="7">
        <v>1.7395</v>
      </c>
      <c r="N16" s="7">
        <v>1.02</v>
      </c>
      <c r="O16" s="11">
        <f>M16+N16</f>
        <v>2.7595000000000001</v>
      </c>
      <c r="P16" s="11">
        <v>9.6204000000000001</v>
      </c>
      <c r="Q16" s="11">
        <v>4.9195000000000002</v>
      </c>
      <c r="R16" s="6">
        <v>0.40550000000000003</v>
      </c>
      <c r="S16" s="7">
        <v>4.3106999999999998</v>
      </c>
      <c r="T16" s="11">
        <v>4.8125999999999998</v>
      </c>
      <c r="V16" s="32">
        <v>794</v>
      </c>
      <c r="W16" s="32">
        <v>202</v>
      </c>
      <c r="X16" s="32">
        <v>294</v>
      </c>
      <c r="Y16" s="32">
        <v>228</v>
      </c>
      <c r="Z16" s="32">
        <v>294</v>
      </c>
      <c r="AA16" s="32">
        <v>228</v>
      </c>
      <c r="AB16" s="34">
        <v>793</v>
      </c>
      <c r="AC16" s="34">
        <v>236</v>
      </c>
      <c r="AD16" s="9">
        <v>1</v>
      </c>
      <c r="AE16" s="10">
        <v>3</v>
      </c>
      <c r="AF16" s="1" t="s">
        <v>78</v>
      </c>
    </row>
    <row r="17" spans="1:33" ht="20" customHeight="1" x14ac:dyDescent="0.2">
      <c r="A17" s="15">
        <v>17</v>
      </c>
      <c r="B17" s="15" t="s">
        <v>42</v>
      </c>
      <c r="C17" s="15" t="s">
        <v>44</v>
      </c>
      <c r="D17" s="15" t="s">
        <v>95</v>
      </c>
      <c r="E17" s="15" t="s">
        <v>114</v>
      </c>
      <c r="F17" s="15">
        <v>5</v>
      </c>
      <c r="G17" s="15">
        <v>3</v>
      </c>
      <c r="H17" s="15">
        <v>0</v>
      </c>
      <c r="I17" s="15" t="s">
        <v>25</v>
      </c>
      <c r="K17" s="16" t="s">
        <v>62</v>
      </c>
      <c r="L17" s="26">
        <v>49.535699999999999</v>
      </c>
      <c r="M17" s="7">
        <v>2.0184000000000002</v>
      </c>
      <c r="N17" s="7">
        <v>0.96530000000000005</v>
      </c>
      <c r="O17" s="16">
        <f>M17+N17</f>
        <v>2.9837000000000002</v>
      </c>
      <c r="P17" s="16">
        <v>25.7651</v>
      </c>
      <c r="Q17" s="16">
        <v>9.3183000000000007</v>
      </c>
      <c r="R17" s="6">
        <v>0.46350000000000002</v>
      </c>
      <c r="S17" s="7">
        <v>8.0381</v>
      </c>
      <c r="T17" s="16">
        <v>11.467499999999999</v>
      </c>
      <c r="V17" s="32">
        <v>5553</v>
      </c>
      <c r="W17" s="32">
        <v>1599</v>
      </c>
      <c r="X17" s="32">
        <v>1431</v>
      </c>
      <c r="Y17" s="32">
        <v>1103</v>
      </c>
      <c r="Z17" s="32">
        <v>286.2</v>
      </c>
      <c r="AA17" s="32">
        <v>220.6</v>
      </c>
      <c r="AB17" s="34">
        <v>861</v>
      </c>
      <c r="AC17" s="34">
        <v>375</v>
      </c>
      <c r="AD17" s="15">
        <v>8</v>
      </c>
      <c r="AE17" s="17">
        <v>30</v>
      </c>
      <c r="AF17" s="1" t="s">
        <v>78</v>
      </c>
    </row>
    <row r="18" spans="1:33" ht="20" customHeight="1" x14ac:dyDescent="0.2">
      <c r="A18" s="12">
        <v>18</v>
      </c>
      <c r="B18" s="12" t="s">
        <v>42</v>
      </c>
      <c r="C18" s="12" t="s">
        <v>38</v>
      </c>
      <c r="D18" s="12" t="s">
        <v>92</v>
      </c>
      <c r="E18" s="12" t="s">
        <v>115</v>
      </c>
      <c r="F18" s="12">
        <v>5</v>
      </c>
      <c r="G18" s="12">
        <v>3</v>
      </c>
      <c r="H18" s="12">
        <v>0</v>
      </c>
      <c r="I18" s="12" t="s">
        <v>25</v>
      </c>
      <c r="K18" s="13" t="s">
        <v>60</v>
      </c>
      <c r="L18" s="24">
        <v>33.251600000000003</v>
      </c>
      <c r="M18" s="7">
        <v>1.4234</v>
      </c>
      <c r="N18" s="7">
        <v>1.0377000000000001</v>
      </c>
      <c r="O18" s="13">
        <f>M18+N18</f>
        <v>2.4611000000000001</v>
      </c>
      <c r="P18" s="13">
        <v>13.706200000000001</v>
      </c>
      <c r="Q18" s="13">
        <v>9.2213999999999992</v>
      </c>
      <c r="R18" s="6">
        <v>0.4093</v>
      </c>
      <c r="S18" s="7">
        <v>8.6508000000000003</v>
      </c>
      <c r="T18" s="13">
        <v>7.8621999999999996</v>
      </c>
      <c r="V18" s="32">
        <v>1328</v>
      </c>
      <c r="W18" s="32">
        <v>586</v>
      </c>
      <c r="X18" s="32">
        <v>1152</v>
      </c>
      <c r="Y18" s="32">
        <v>902</v>
      </c>
      <c r="Z18" s="32">
        <v>288</v>
      </c>
      <c r="AA18" s="32">
        <v>225.5</v>
      </c>
      <c r="AB18" s="34">
        <v>823</v>
      </c>
      <c r="AC18" s="34">
        <v>296</v>
      </c>
      <c r="AD18" s="12">
        <v>4</v>
      </c>
      <c r="AE18" s="14">
        <v>6</v>
      </c>
      <c r="AF18" s="1" t="s">
        <v>78</v>
      </c>
    </row>
    <row r="19" spans="1:33" s="19" customFormat="1" ht="20" customHeight="1" x14ac:dyDescent="0.2">
      <c r="A19" s="19">
        <v>19</v>
      </c>
      <c r="B19" s="19" t="s">
        <v>45</v>
      </c>
      <c r="C19" s="19" t="s">
        <v>46</v>
      </c>
      <c r="D19" s="19" t="s">
        <v>97</v>
      </c>
      <c r="E19" s="19" t="s">
        <v>116</v>
      </c>
      <c r="F19" s="19">
        <v>5</v>
      </c>
      <c r="G19" s="19">
        <v>3</v>
      </c>
      <c r="H19" s="19">
        <v>0</v>
      </c>
      <c r="I19" s="19" t="s">
        <v>25</v>
      </c>
      <c r="J19" s="4"/>
      <c r="K19" s="20" t="s">
        <v>60</v>
      </c>
      <c r="L19" s="21">
        <v>32.470399999999998</v>
      </c>
      <c r="M19" s="20">
        <v>1.3375999999999999</v>
      </c>
      <c r="N19" s="20">
        <v>0.80779999999999996</v>
      </c>
      <c r="O19" s="20">
        <f>M19+N19</f>
        <v>2.1454</v>
      </c>
      <c r="P19" s="20">
        <v>14.038600000000001</v>
      </c>
      <c r="Q19" s="20">
        <v>9.73</v>
      </c>
      <c r="R19" s="21">
        <v>0.45040000000000002</v>
      </c>
      <c r="S19" s="20">
        <v>8.5277999999999992</v>
      </c>
      <c r="T19" s="20">
        <v>6.5545999999999998</v>
      </c>
      <c r="U19" s="4"/>
      <c r="V19" s="33">
        <v>1746</v>
      </c>
      <c r="W19" s="33">
        <v>562</v>
      </c>
      <c r="X19" s="33">
        <v>1113</v>
      </c>
      <c r="Y19" s="33">
        <v>856</v>
      </c>
      <c r="Z19" s="33">
        <v>278.25</v>
      </c>
      <c r="AA19" s="33">
        <v>214</v>
      </c>
      <c r="AB19" s="34">
        <v>809</v>
      </c>
      <c r="AC19" s="34">
        <v>251</v>
      </c>
      <c r="AD19" s="19">
        <v>4</v>
      </c>
      <c r="AE19" s="22">
        <v>8</v>
      </c>
      <c r="AF19" s="19" t="s">
        <v>78</v>
      </c>
      <c r="AG19" s="4"/>
    </row>
    <row r="20" spans="1:33" s="19" customFormat="1" ht="20" hidden="1" customHeight="1" x14ac:dyDescent="0.2">
      <c r="A20" s="12">
        <v>21</v>
      </c>
      <c r="B20" s="12" t="s">
        <v>23</v>
      </c>
      <c r="C20" s="12" t="s">
        <v>24</v>
      </c>
      <c r="D20" s="12" t="s">
        <v>82</v>
      </c>
      <c r="E20" s="12" t="s">
        <v>117</v>
      </c>
      <c r="F20" s="12">
        <v>5</v>
      </c>
      <c r="G20" s="12">
        <v>3</v>
      </c>
      <c r="H20" s="12">
        <v>0.17</v>
      </c>
      <c r="I20" s="12" t="s">
        <v>47</v>
      </c>
      <c r="J20" s="4"/>
      <c r="K20" s="13" t="s">
        <v>60</v>
      </c>
      <c r="L20" s="13">
        <v>36.6417</v>
      </c>
      <c r="M20" s="7">
        <v>1.7568999999999999</v>
      </c>
      <c r="N20" s="7">
        <v>0.93799999999999994</v>
      </c>
      <c r="O20" s="13">
        <f>M20+N20</f>
        <v>2.6948999999999996</v>
      </c>
      <c r="P20" s="13">
        <v>12.5382</v>
      </c>
      <c r="Q20" s="13">
        <v>12.494300000000001</v>
      </c>
      <c r="R20" s="6">
        <v>0.44269999999999998</v>
      </c>
      <c r="S20" s="7">
        <v>11.8475</v>
      </c>
      <c r="T20" s="13">
        <v>8.9131999999999998</v>
      </c>
      <c r="U20" s="4"/>
      <c r="V20" s="29">
        <v>1162</v>
      </c>
      <c r="W20" s="29">
        <v>545</v>
      </c>
      <c r="X20" s="29">
        <v>1028</v>
      </c>
      <c r="Y20" s="29">
        <v>785</v>
      </c>
      <c r="Z20" s="29">
        <v>257</v>
      </c>
      <c r="AA20" s="29">
        <v>196.25</v>
      </c>
      <c r="AB20" s="30">
        <v>859</v>
      </c>
      <c r="AC20" s="30">
        <v>479</v>
      </c>
      <c r="AD20" s="12">
        <v>4</v>
      </c>
      <c r="AE20" s="14">
        <v>5</v>
      </c>
      <c r="AF20" s="1"/>
      <c r="AG20" s="4"/>
    </row>
    <row r="21" spans="1:33" s="19" customFormat="1" ht="20" customHeight="1" x14ac:dyDescent="0.2">
      <c r="A21" s="19">
        <v>22</v>
      </c>
      <c r="B21" s="19" t="s">
        <v>23</v>
      </c>
      <c r="C21" s="19" t="s">
        <v>26</v>
      </c>
      <c r="D21" s="19" t="s">
        <v>81</v>
      </c>
      <c r="E21" s="19" t="s">
        <v>118</v>
      </c>
      <c r="F21" s="19">
        <v>5</v>
      </c>
      <c r="G21" s="19">
        <v>3</v>
      </c>
      <c r="H21" s="19">
        <v>0.17</v>
      </c>
      <c r="I21" s="19" t="s">
        <v>47</v>
      </c>
      <c r="J21" s="4"/>
      <c r="K21" s="20" t="s">
        <v>61</v>
      </c>
      <c r="L21" s="21">
        <v>24.503900000000002</v>
      </c>
      <c r="M21" s="20">
        <v>1.5172000000000001</v>
      </c>
      <c r="N21" s="20">
        <v>1.0229999999999999</v>
      </c>
      <c r="O21" s="20">
        <f>M21+N21</f>
        <v>2.5402</v>
      </c>
      <c r="P21" s="20">
        <v>6.4363999999999999</v>
      </c>
      <c r="Q21" s="20">
        <v>6.0552999999999999</v>
      </c>
      <c r="R21" s="21">
        <v>0.39529999999999998</v>
      </c>
      <c r="S21" s="20">
        <v>5.4214000000000002</v>
      </c>
      <c r="T21" s="20">
        <v>9.4710000000000001</v>
      </c>
      <c r="U21" s="4"/>
      <c r="V21" s="33">
        <v>487</v>
      </c>
      <c r="W21" s="33">
        <v>148</v>
      </c>
      <c r="X21" s="33">
        <v>300</v>
      </c>
      <c r="Y21" s="33">
        <v>220</v>
      </c>
      <c r="Z21" s="33">
        <v>300</v>
      </c>
      <c r="AA21" s="33">
        <v>220</v>
      </c>
      <c r="AB21" s="34">
        <v>1273</v>
      </c>
      <c r="AC21" s="34">
        <v>322</v>
      </c>
      <c r="AD21" s="19">
        <v>1</v>
      </c>
      <c r="AE21" s="22">
        <v>1</v>
      </c>
      <c r="AF21" s="19" t="s">
        <v>78</v>
      </c>
      <c r="AG21" s="4"/>
    </row>
    <row r="22" spans="1:33" ht="20" customHeight="1" x14ac:dyDescent="0.2">
      <c r="A22" s="9">
        <v>23</v>
      </c>
      <c r="B22" s="9" t="s">
        <v>23</v>
      </c>
      <c r="C22" s="9" t="s">
        <v>26</v>
      </c>
      <c r="D22" s="9" t="s">
        <v>81</v>
      </c>
      <c r="E22" s="9" t="s">
        <v>119</v>
      </c>
      <c r="F22" s="9">
        <v>5</v>
      </c>
      <c r="G22" s="9">
        <v>3</v>
      </c>
      <c r="H22" s="9">
        <v>0.1</v>
      </c>
      <c r="I22" s="9" t="s">
        <v>47</v>
      </c>
      <c r="K22" s="11" t="s">
        <v>61</v>
      </c>
      <c r="L22" s="25">
        <v>29.840499999999999</v>
      </c>
      <c r="M22" s="7">
        <v>1.5773999999999999</v>
      </c>
      <c r="N22" s="7">
        <v>1.0221</v>
      </c>
      <c r="O22" s="11">
        <f>M22+N22</f>
        <v>2.5994999999999999</v>
      </c>
      <c r="P22" s="11">
        <v>6.1425000000000001</v>
      </c>
      <c r="Q22" s="11">
        <v>10.3329</v>
      </c>
      <c r="R22" s="6">
        <v>0.42030000000000001</v>
      </c>
      <c r="S22" s="7">
        <v>9.2669999999999995</v>
      </c>
      <c r="T22" s="11">
        <v>10.764699999999999</v>
      </c>
      <c r="V22" s="32">
        <v>487</v>
      </c>
      <c r="W22" s="32">
        <v>161</v>
      </c>
      <c r="X22" s="32">
        <v>296</v>
      </c>
      <c r="Y22" s="32">
        <v>232</v>
      </c>
      <c r="Z22" s="32">
        <v>296</v>
      </c>
      <c r="AA22" s="32">
        <v>232</v>
      </c>
      <c r="AB22" s="34">
        <v>1260</v>
      </c>
      <c r="AC22" s="34">
        <v>406</v>
      </c>
      <c r="AD22" s="9">
        <v>1</v>
      </c>
      <c r="AE22" s="10">
        <v>1</v>
      </c>
      <c r="AF22" s="1" t="s">
        <v>78</v>
      </c>
    </row>
    <row r="23" spans="1:33" ht="20" customHeight="1" x14ac:dyDescent="0.2">
      <c r="A23" s="15">
        <v>25</v>
      </c>
      <c r="B23" s="15" t="s">
        <v>42</v>
      </c>
      <c r="C23" s="15" t="s">
        <v>43</v>
      </c>
      <c r="D23" s="15" t="s">
        <v>96</v>
      </c>
      <c r="E23" s="15" t="s">
        <v>120</v>
      </c>
      <c r="F23" s="15">
        <v>5</v>
      </c>
      <c r="G23" s="15">
        <v>3</v>
      </c>
      <c r="H23" s="15">
        <v>0</v>
      </c>
      <c r="I23" s="15" t="s">
        <v>47</v>
      </c>
      <c r="K23" s="16" t="s">
        <v>62</v>
      </c>
      <c r="L23" s="26">
        <v>50.580199999999998</v>
      </c>
      <c r="M23" s="7">
        <v>1.5225</v>
      </c>
      <c r="N23" s="7">
        <v>0.94840000000000002</v>
      </c>
      <c r="O23" s="16">
        <f>M23+N23</f>
        <v>2.4708999999999999</v>
      </c>
      <c r="P23" s="16">
        <v>25.273800000000001</v>
      </c>
      <c r="Q23" s="16">
        <v>12.363</v>
      </c>
      <c r="R23" s="6">
        <v>0.4556</v>
      </c>
      <c r="S23" s="7">
        <v>11.8233</v>
      </c>
      <c r="T23" s="16">
        <v>10.471399999999999</v>
      </c>
      <c r="V23" s="32">
        <v>5893</v>
      </c>
      <c r="W23" s="32">
        <v>1568</v>
      </c>
      <c r="X23" s="32">
        <v>1423</v>
      </c>
      <c r="Y23" s="32">
        <v>1159</v>
      </c>
      <c r="Z23" s="32">
        <v>284.60000000000002</v>
      </c>
      <c r="AA23" s="32">
        <v>231.8</v>
      </c>
      <c r="AB23" s="34">
        <v>845</v>
      </c>
      <c r="AC23" s="34">
        <v>523</v>
      </c>
      <c r="AD23" s="15">
        <v>8</v>
      </c>
      <c r="AE23" s="17">
        <v>32</v>
      </c>
      <c r="AF23" s="1" t="s">
        <v>78</v>
      </c>
    </row>
    <row r="24" spans="1:33" ht="20" customHeight="1" x14ac:dyDescent="0.2">
      <c r="A24" s="15">
        <v>26</v>
      </c>
      <c r="B24" s="15" t="s">
        <v>42</v>
      </c>
      <c r="C24" s="15" t="s">
        <v>43</v>
      </c>
      <c r="D24" s="15" t="s">
        <v>96</v>
      </c>
      <c r="E24" s="15" t="s">
        <v>121</v>
      </c>
      <c r="F24" s="15">
        <v>5</v>
      </c>
      <c r="G24" s="15">
        <v>3</v>
      </c>
      <c r="H24" s="15">
        <v>0</v>
      </c>
      <c r="I24" s="15" t="s">
        <v>25</v>
      </c>
      <c r="K24" s="16" t="s">
        <v>62</v>
      </c>
      <c r="L24" s="26">
        <v>50.623600000000003</v>
      </c>
      <c r="M24" s="7">
        <v>1.7739</v>
      </c>
      <c r="N24" s="7">
        <v>1.0491999999999999</v>
      </c>
      <c r="O24" s="16">
        <f>M24+N24</f>
        <v>2.8231000000000002</v>
      </c>
      <c r="P24" s="16">
        <v>30.735800000000001</v>
      </c>
      <c r="Q24" s="16">
        <v>10.813599999999999</v>
      </c>
      <c r="R24" s="6">
        <v>0.45979999999999999</v>
      </c>
      <c r="S24" s="7">
        <v>10.1661</v>
      </c>
      <c r="T24" s="16">
        <v>6.2497999999999996</v>
      </c>
      <c r="V24" s="32">
        <v>5893</v>
      </c>
      <c r="W24" s="32">
        <v>1284</v>
      </c>
      <c r="X24" s="32">
        <v>1390</v>
      </c>
      <c r="Y24" s="32">
        <v>1091</v>
      </c>
      <c r="Z24" s="32">
        <v>278</v>
      </c>
      <c r="AA24" s="32">
        <v>218.2</v>
      </c>
      <c r="AB24" s="34">
        <v>855</v>
      </c>
      <c r="AC24" s="34">
        <v>349</v>
      </c>
      <c r="AD24" s="15">
        <v>5</v>
      </c>
      <c r="AE24" s="17">
        <v>32</v>
      </c>
      <c r="AF24" s="1" t="s">
        <v>78</v>
      </c>
    </row>
    <row r="26" spans="1:33" ht="20" customHeight="1" x14ac:dyDescent="0.2">
      <c r="A26" s="1" t="s">
        <v>50</v>
      </c>
      <c r="L26" s="1">
        <f>AVERAGE(L4:L24)</f>
        <v>34.65014285714286</v>
      </c>
      <c r="M26" s="1">
        <f t="shared" ref="M26:T26" si="0">AVERAGE(M4:M24)</f>
        <v>1.6348190476190474</v>
      </c>
      <c r="N26" s="1">
        <f t="shared" si="0"/>
        <v>0.98398095238095218</v>
      </c>
      <c r="P26" s="1">
        <f t="shared" si="0"/>
        <v>14.638257142857142</v>
      </c>
      <c r="Q26" s="1">
        <f t="shared" si="0"/>
        <v>9.8933238095238085</v>
      </c>
      <c r="R26" s="1">
        <f t="shared" si="0"/>
        <v>0.43128571428571433</v>
      </c>
      <c r="S26" s="1">
        <f t="shared" si="0"/>
        <v>8.9122619047619054</v>
      </c>
      <c r="T26" s="1">
        <f t="shared" si="0"/>
        <v>7.4985476190476179</v>
      </c>
    </row>
    <row r="27" spans="1:33" ht="20" customHeight="1" x14ac:dyDescent="0.2">
      <c r="A27" s="1" t="s">
        <v>54</v>
      </c>
      <c r="L27" s="1">
        <f>MIN(L4:L24)</f>
        <v>22.1127</v>
      </c>
      <c r="M27" s="1">
        <f t="shared" ref="M27:T27" si="1">MIN(M4:M24)</f>
        <v>1.3375999999999999</v>
      </c>
      <c r="N27" s="1">
        <f t="shared" si="1"/>
        <v>0.80779999999999996</v>
      </c>
      <c r="P27" s="1">
        <f t="shared" si="1"/>
        <v>6.1425000000000001</v>
      </c>
      <c r="Q27" s="1">
        <f t="shared" si="1"/>
        <v>4.9195000000000002</v>
      </c>
      <c r="R27" s="1">
        <f t="shared" si="1"/>
        <v>0.39529999999999998</v>
      </c>
      <c r="S27" s="1">
        <f t="shared" si="1"/>
        <v>4.3106999999999998</v>
      </c>
      <c r="T27" s="1">
        <f t="shared" si="1"/>
        <v>4.5091000000000001</v>
      </c>
    </row>
    <row r="28" spans="1:33" ht="20" customHeight="1" x14ac:dyDescent="0.2">
      <c r="A28" s="1" t="s">
        <v>55</v>
      </c>
      <c r="L28" s="1">
        <f>MAX(L4:L24)</f>
        <v>50.623600000000003</v>
      </c>
      <c r="M28" s="1">
        <f t="shared" ref="M28:T28" si="2">MAX(M4:M24)</f>
        <v>2.0184000000000002</v>
      </c>
      <c r="N28" s="1">
        <f t="shared" si="2"/>
        <v>1.3385</v>
      </c>
      <c r="P28" s="1">
        <f t="shared" si="2"/>
        <v>30.735800000000001</v>
      </c>
      <c r="Q28" s="1">
        <f t="shared" si="2"/>
        <v>14.437900000000001</v>
      </c>
      <c r="R28" s="1">
        <f t="shared" si="2"/>
        <v>0.46350000000000002</v>
      </c>
      <c r="S28" s="1">
        <f t="shared" si="2"/>
        <v>13.812200000000001</v>
      </c>
      <c r="T28" s="1">
        <f t="shared" si="2"/>
        <v>11.467499999999999</v>
      </c>
    </row>
    <row r="30" spans="1:33" ht="20" customHeight="1" x14ac:dyDescent="0.2">
      <c r="A30" s="1">
        <v>13</v>
      </c>
      <c r="B30" s="1" t="s">
        <v>36</v>
      </c>
      <c r="C30" s="1" t="s">
        <v>38</v>
      </c>
      <c r="D30" s="1" t="s">
        <v>92</v>
      </c>
      <c r="E30" s="1" t="s">
        <v>111</v>
      </c>
      <c r="F30" s="1">
        <v>5</v>
      </c>
      <c r="G30" s="1">
        <v>3</v>
      </c>
      <c r="H30" s="1">
        <v>0</v>
      </c>
      <c r="I30" s="1" t="s">
        <v>25</v>
      </c>
      <c r="L30" s="1">
        <v>2.5552000000000001</v>
      </c>
      <c r="M30" s="1">
        <v>1.5078</v>
      </c>
      <c r="N30" s="1">
        <v>1.0468999999999999</v>
      </c>
      <c r="O30" s="23">
        <f>M30+N30</f>
        <v>2.5547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AD30" s="1">
        <v>0</v>
      </c>
      <c r="AE30" s="1">
        <v>0</v>
      </c>
      <c r="AF30" s="1" t="s">
        <v>78</v>
      </c>
    </row>
    <row r="31" spans="1:33" ht="20" customHeight="1" x14ac:dyDescent="0.2">
      <c r="AD31"/>
      <c r="AE31" s="1"/>
    </row>
    <row r="32" spans="1:33" ht="20" customHeight="1" x14ac:dyDescent="0.2">
      <c r="AD32"/>
      <c r="AE32" s="1"/>
    </row>
    <row r="33" spans="3:8" ht="20" customHeight="1" x14ac:dyDescent="0.2">
      <c r="G33" s="1" t="s">
        <v>64</v>
      </c>
    </row>
    <row r="34" spans="3:8" ht="20" customHeight="1" x14ac:dyDescent="0.2">
      <c r="C34" s="1" t="s">
        <v>63</v>
      </c>
      <c r="G34" s="1" t="s">
        <v>65</v>
      </c>
    </row>
    <row r="35" spans="3:8" ht="20" customHeight="1" x14ac:dyDescent="0.2">
      <c r="C35" s="1" t="s">
        <v>66</v>
      </c>
      <c r="G35" s="1" t="s">
        <v>67</v>
      </c>
    </row>
    <row r="37" spans="3:8" ht="20" customHeight="1" x14ac:dyDescent="0.2">
      <c r="C37" s="1" t="s">
        <v>68</v>
      </c>
    </row>
    <row r="38" spans="3:8" ht="20" customHeight="1" x14ac:dyDescent="0.2">
      <c r="C38" s="1" t="s">
        <v>69</v>
      </c>
    </row>
    <row r="39" spans="3:8" ht="20" customHeight="1" x14ac:dyDescent="0.2">
      <c r="C39" s="1" t="s">
        <v>70</v>
      </c>
    </row>
    <row r="42" spans="3:8" ht="20" customHeight="1" x14ac:dyDescent="0.2">
      <c r="C42" s="1" t="s">
        <v>58</v>
      </c>
      <c r="G42" s="1" t="s">
        <v>71</v>
      </c>
    </row>
    <row r="43" spans="3:8" ht="20" customHeight="1" x14ac:dyDescent="0.2">
      <c r="C43" s="1" t="s">
        <v>72</v>
      </c>
      <c r="G43" s="1" t="s">
        <v>73</v>
      </c>
      <c r="H43" s="1" t="s">
        <v>79</v>
      </c>
    </row>
    <row r="44" spans="3:8" ht="20" customHeight="1" x14ac:dyDescent="0.2">
      <c r="C44" s="1" t="s">
        <v>72</v>
      </c>
      <c r="G44" s="18" t="s">
        <v>76</v>
      </c>
      <c r="H44" s="1" t="s">
        <v>80</v>
      </c>
    </row>
    <row r="45" spans="3:8" ht="20" customHeight="1" x14ac:dyDescent="0.2">
      <c r="C45" s="1" t="s">
        <v>72</v>
      </c>
      <c r="G45" s="1" t="s">
        <v>77</v>
      </c>
      <c r="H45" s="1" t="s">
        <v>70</v>
      </c>
    </row>
    <row r="46" spans="3:8" ht="20" customHeight="1" x14ac:dyDescent="0.2">
      <c r="C46" s="1" t="s">
        <v>64</v>
      </c>
      <c r="G46" s="1" t="s">
        <v>75</v>
      </c>
    </row>
    <row r="47" spans="3:8" ht="20" customHeight="1" x14ac:dyDescent="0.2">
      <c r="C47" s="1" t="s">
        <v>74</v>
      </c>
      <c r="G47" s="1" t="s">
        <v>73</v>
      </c>
    </row>
  </sheetData>
  <autoFilter ref="A3:AG24" xr:uid="{882D1967-66C6-9543-B52A-D374E5C3D1B9}">
    <filterColumn colId="31">
      <customFilters>
        <customFilter operator="notEqual" val=" "/>
      </customFilters>
    </filterColumn>
    <sortState xmlns:xlrd2="http://schemas.microsoft.com/office/spreadsheetml/2017/richdata2" ref="A4:AG24">
      <sortCondition ref="A3:A24"/>
    </sortState>
  </autoFilter>
  <mergeCells count="7">
    <mergeCell ref="AB2:AC2"/>
    <mergeCell ref="B1:I1"/>
    <mergeCell ref="L1:T1"/>
    <mergeCell ref="V1:AA1"/>
    <mergeCell ref="V2:W2"/>
    <mergeCell ref="X2:Y2"/>
    <mergeCell ref="Z2:A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response_log_csv</vt:lpstr>
      <vt:lpstr>response_log_csv (2)</vt:lpstr>
      <vt:lpstr>response_log_csv (3)</vt:lpstr>
      <vt:lpstr>response_log_csv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Shin Thant</cp:lastModifiedBy>
  <dcterms:created xsi:type="dcterms:W3CDTF">2026-01-16T10:20:56Z</dcterms:created>
  <dcterms:modified xsi:type="dcterms:W3CDTF">2026-01-18T18:53:56Z</dcterms:modified>
</cp:coreProperties>
</file>